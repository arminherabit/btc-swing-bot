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 &amp; Portfolio" sheetId="2" state="visible" r:id="rId4"/>
    <sheet name="5-Year Projections" sheetId="3" state="visible" r:id="rId5"/>
    <sheet name="Monthly Detail (15% Target)" sheetId="4" state="visible" r:id="rId6"/>
    <sheet name="Fund Research Notes" sheetId="5" state="visible" r:id="rId7"/>
    <sheet name="Current Holdings Analysis" sheetId="6" state="visible" r:id="rId8"/>
    <sheet name="Portfolio Comparison (5yr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<sst xmlns="http://schemas.openxmlformats.org/spreadsheetml/2006/main" count="302" uniqueCount="248">
  <si>
    <t xml:space="preserve">HSA INVESTMENT FINANCIAL PLAN</t>
  </si>
  <si>
    <t xml:space="preserve">Fidelity Aggressive Growth Strategy  |  Prepared for: Mildhail  |  May 2026</t>
  </si>
  <si>
    <t xml:space="preserve">⚠  DISCLAIMER: This plan is educational only — not professional financial advice. A 15% annual return is an aspirational target, NOT a guarantee. All investments carry risk.</t>
  </si>
  <si>
    <t xml:space="preserve">CLIENT PROFILE</t>
  </si>
  <si>
    <t xml:space="preserve">Current Age</t>
  </si>
  <si>
    <t xml:space="preserve">57</t>
  </si>
  <si>
    <t xml:space="preserve">Target Retirement Age</t>
  </si>
  <si>
    <t xml:space="preserve">62</t>
  </si>
  <si>
    <t xml:space="preserve">Years to Retirement</t>
  </si>
  <si>
    <t xml:space="preserve">5</t>
  </si>
  <si>
    <t xml:space="preserve">HSA Custodian</t>
  </si>
  <si>
    <t xml:space="preserve">Fidelity</t>
  </si>
  <si>
    <t xml:space="preserve">Current HSA Balance</t>
  </si>
  <si>
    <t xml:space="preserve">$3,200</t>
  </si>
  <si>
    <t xml:space="preserve">Monthly Contribution</t>
  </si>
  <si>
    <t xml:space="preserve">$400 / month</t>
  </si>
  <si>
    <t xml:space="preserve">Annual Contribution</t>
  </si>
  <si>
    <t xml:space="preserve">$4,800</t>
  </si>
  <si>
    <t xml:space="preserve">Catch-Up Eligible (Age 55+)</t>
  </si>
  <si>
    <t xml:space="preserve">Yes</t>
  </si>
  <si>
    <t xml:space="preserve">Other Retirement Savings</t>
  </si>
  <si>
    <t xml:space="preserve">Substantial (HSA is supplementary)</t>
  </si>
  <si>
    <t xml:space="preserve">Investment Style</t>
  </si>
  <si>
    <t xml:space="preserve">Aggressive Growth</t>
  </si>
  <si>
    <t xml:space="preserve">RECOMMENDED PORTFOLIO — AGGRESSIVE GROWTH ALLOCATION</t>
  </si>
  <si>
    <t xml:space="preserve">Ticker</t>
  </si>
  <si>
    <t xml:space="preserve">Fund Name</t>
  </si>
  <si>
    <t xml:space="preserve">Allocation</t>
  </si>
  <si>
    <t xml:space="preserve">Exp. Ratio</t>
  </si>
  <si>
    <t xml:space="preserve">Strategy Role</t>
  </si>
  <si>
    <t xml:space="preserve">Hist. 10yr Avg*</t>
  </si>
  <si>
    <t xml:space="preserve">FSELX</t>
  </si>
  <si>
    <t xml:space="preserve">Fidelity Select Semiconductors Portfolio</t>
  </si>
  <si>
    <t xml:space="preserve">35%</t>
  </si>
  <si>
    <t xml:space="preserve">0.68%</t>
  </si>
  <si>
    <t xml:space="preserve">High-Octane Growth Core</t>
  </si>
  <si>
    <t xml:space="preserve">~28% / yr</t>
  </si>
  <si>
    <t xml:space="preserve">FTEC</t>
  </si>
  <si>
    <t xml:space="preserve">Fidelity MSCI Information Technology ETF</t>
  </si>
  <si>
    <t xml:space="preserve">30%</t>
  </si>
  <si>
    <t xml:space="preserve">0.08%</t>
  </si>
  <si>
    <t xml:space="preserve">Technology Growth Engine</t>
  </si>
  <si>
    <t xml:space="preserve">~20% / yr</t>
  </si>
  <si>
    <t xml:space="preserve">FZROX</t>
  </si>
  <si>
    <t xml:space="preserve">Fidelity ZERO Total Market Index Fund</t>
  </si>
  <si>
    <t xml:space="preserve">20%</t>
  </si>
  <si>
    <t xml:space="preserve">0.00%</t>
  </si>
  <si>
    <t xml:space="preserve">Broad Market Foundation</t>
  </si>
  <si>
    <t xml:space="preserve">~12% / yr</t>
  </si>
  <si>
    <t xml:space="preserve">FSSNX</t>
  </si>
  <si>
    <t xml:space="preserve">Fidelity Small Cap Index Fund</t>
  </si>
  <si>
    <t xml:space="preserve">10%</t>
  </si>
  <si>
    <t xml:space="preserve">0.025%</t>
  </si>
  <si>
    <t xml:space="preserve">Small-Cap Growth Premium</t>
  </si>
  <si>
    <t xml:space="preserve">~11% / yr</t>
  </si>
  <si>
    <t xml:space="preserve">FZILX</t>
  </si>
  <si>
    <t xml:space="preserve">Fidelity ZERO International Index Fund</t>
  </si>
  <si>
    <t xml:space="preserve">5%</t>
  </si>
  <si>
    <t xml:space="preserve">International Diversifier</t>
  </si>
  <si>
    <t xml:space="preserve">~7% / yr</t>
  </si>
  <si>
    <t xml:space="preserve">TOTAL / WEIGHTED AVG. EXP. RATIO</t>
  </si>
  <si>
    <t xml:space="preserve">100%</t>
  </si>
  <si>
    <t xml:space="preserve">0.27%</t>
  </si>
  <si>
    <t xml:space="preserve">* Historical averages only. Past performance ≠ future results. Source: Fidelity.com</t>
  </si>
  <si>
    <t xml:space="preserve">PROJECTED HSA VALUE AT RETIREMENT — AGE 62 (5 YEARS)</t>
  </si>
  <si>
    <t xml:space="preserve">Scenario</t>
  </si>
  <si>
    <t xml:space="preserve">Ann. Return</t>
  </si>
  <si>
    <t xml:space="preserve">Projected Balance</t>
  </si>
  <si>
    <t xml:space="preserve">Total Contributed</t>
  </si>
  <si>
    <t xml:space="preserve">Investment Gain</t>
  </si>
  <si>
    <t xml:space="preserve">Gain on Contrib.</t>
  </si>
  <si>
    <t xml:space="preserve">Bear Case</t>
  </si>
  <si>
    <t xml:space="preserve">$31,302</t>
  </si>
  <si>
    <t xml:space="preserve">$27,200</t>
  </si>
  <si>
    <t xml:space="preserve">$4,102</t>
  </si>
  <si>
    <t xml:space="preserve">15.1%</t>
  </si>
  <si>
    <t xml:space="preserve">Base Case</t>
  </si>
  <si>
    <t xml:space="preserve">$36,241</t>
  </si>
  <si>
    <t xml:space="preserve">$9,041</t>
  </si>
  <si>
    <t xml:space="preserve">33.2%</t>
  </si>
  <si>
    <t xml:space="preserve">★ TARGET (15%)</t>
  </si>
  <si>
    <t xml:space="preserve">15%</t>
  </si>
  <si>
    <t xml:space="preserve">$42,173</t>
  </si>
  <si>
    <t xml:space="preserve">$14,973</t>
  </si>
  <si>
    <t xml:space="preserve">55.0%</t>
  </si>
  <si>
    <t xml:space="preserve">Bull Case</t>
  </si>
  <si>
    <t xml:space="preserve">$49,102</t>
  </si>
  <si>
    <t xml:space="preserve">$21,902</t>
  </si>
  <si>
    <t xml:space="preserve">80.5%</t>
  </si>
  <si>
    <t xml:space="preserve">KEY HSA RULES TO KNOW</t>
  </si>
  <si>
    <t xml:space="preserve">✔  Triple Tax Advantage: Contributions pre-tax → Growth tax-free → Qualified withdrawals tax-free</t>
  </si>
  <si>
    <t xml:space="preserve">✔  Qualified Medical Expense withdrawals are ALWAYS tax-free and penalty-free at any age</t>
  </si>
  <si>
    <t xml:space="preserve">✔  Non-medical withdrawals before age 65: Taxed as ordinary income + 20% penalty</t>
  </si>
  <si>
    <t xml:space="preserve">✔  Non-medical withdrawals at/after age 65: Taxed as ordinary income ONLY (like a traditional IRA)</t>
  </si>
  <si>
    <t xml:space="preserve">✔  2025 Contribution Limits: Self-only HDHP = $5,300 (incl. $1,000 catch-up) | Family = $9,550</t>
  </si>
  <si>
    <t xml:space="preserve">✔  Your $4,800/year is within self-only limits — confirm your HDHP coverage type with Fidelity</t>
  </si>
  <si>
    <t xml:space="preserve">ASSUMPTIONS &amp; PORTFOLIO INPUTS</t>
  </si>
  <si>
    <t xml:space="preserve">BLUE cells = hardcoded inputs you can change  |  BLACK cells = calculated formulas</t>
  </si>
  <si>
    <t xml:space="preserve">KEY INPUTS</t>
  </si>
  <si>
    <t xml:space="preserve">Input Description</t>
  </si>
  <si>
    <t xml:space="preserve">Value</t>
  </si>
  <si>
    <t xml:space="preserve">Notes</t>
  </si>
  <si>
    <t xml:space="preserve">Current HSA Balance ($)</t>
  </si>
  <si>
    <t xml:space="preserve">As of May 2026</t>
  </si>
  <si>
    <t xml:space="preserve">Monthly Contribution ($)</t>
  </si>
  <si>
    <t xml:space="preserve">Consistent $400/mo assumed</t>
  </si>
  <si>
    <t xml:space="preserve">Annual Contribution ($)</t>
  </si>
  <si>
    <t xml:space="preserve">Auto-calc from monthly</t>
  </si>
  <si>
    <t xml:space="preserve">Current Age (years)</t>
  </si>
  <si>
    <t xml:space="preserve">Target Retirement Age (years)</t>
  </si>
  <si>
    <t xml:space="preserve">Auto-calc</t>
  </si>
  <si>
    <t xml:space="preserve">Bear Case Annual Return</t>
  </si>
  <si>
    <t xml:space="preserve">Conservative / down-market</t>
  </si>
  <si>
    <t xml:space="preserve">Base Case Annual Return</t>
  </si>
  <si>
    <t xml:space="preserve">Historical S&amp;P 500 avg</t>
  </si>
  <si>
    <t xml:space="preserve">Target Annual Return</t>
  </si>
  <si>
    <t xml:space="preserve">Aspirational — NOT guaranteed</t>
  </si>
  <si>
    <t xml:space="preserve">Bull Case Annual Return</t>
  </si>
  <si>
    <t xml:space="preserve">Strong bull market scenario</t>
  </si>
  <si>
    <t xml:space="preserve">Bear Case Monthly Rate</t>
  </si>
  <si>
    <t xml:space="preserve">Base Case Monthly Rate</t>
  </si>
  <si>
    <t xml:space="preserve">Target Monthly Rate</t>
  </si>
  <si>
    <t xml:space="preserve">Bull Case Monthly Rate</t>
  </si>
  <si>
    <t xml:space="preserve">ℹ  2025 HSA Limits: Self-only HDHP = $4,300 base + $1,000 catch-up (55+) = $5,300 max  |  Family HDHP = $8,550 + $1,000 = $9,550 max  |  Your $4,800/yr is within self-only limits.</t>
  </si>
  <si>
    <t xml:space="preserve">PORTFOLIO ALLOCATION — DETAIL</t>
  </si>
  <si>
    <t xml:space="preserve">Allocation %</t>
  </si>
  <si>
    <t xml:space="preserve">Expense Ratio</t>
  </si>
  <si>
    <t xml:space="preserve">TOTAL</t>
  </si>
  <si>
    <t xml:space="preserve">5-YEAR HSA GROWTH PROJECTIONS — FOUR SCENARIO ANALYSIS</t>
  </si>
  <si>
    <t xml:space="preserve">Monthly compounding  |  $400/month contributions  |  Start balance $3,200  |  Rates linked from Assumptions sheet  |  Change inputs there to update all scenarios</t>
  </si>
  <si>
    <t xml:space="preserve">Year</t>
  </si>
  <si>
    <t xml:space="preserve">Age</t>
  </si>
  <si>
    <t xml:space="preserve">Bear Case
(5% Ann.)</t>
  </si>
  <si>
    <t xml:space="preserve">Base Case
(10% Ann.)</t>
  </si>
  <si>
    <t xml:space="preserve">★ TARGET
(15% Ann.)</t>
  </si>
  <si>
    <t xml:space="preserve">Bull Case
(20% Ann.)</t>
  </si>
  <si>
    <t xml:space="preserve">Total
Contributed</t>
  </si>
  <si>
    <t xml:space="preserve">0 (Now)</t>
  </si>
  <si>
    <t xml:space="preserve">Total Gain ($)</t>
  </si>
  <si>
    <t xml:space="preserve">Return on Contrib. (%)</t>
  </si>
  <si>
    <t xml:space="preserve">★  STRATEGY NOTE: With substantial other retirement savings, this HSA can sustain full market exposure. FSELX + FTEC historically drive the 15%+ target in bull cycles but expect higher short-term volatility. Do NOT panic-sell during corrections — the 5-year horizon is your shield.</t>
  </si>
  <si>
    <t xml:space="preserve">MONTHLY HSA GROWTH DETAIL — 15% TARGET SCENARIO (ASPIRATIONAL)</t>
  </si>
  <si>
    <t xml:space="preserve">Month-by-month tracking | Monthly rate 1.25% | $400/month contribution | Interest on beginning balance + contribution | Milestone years bolded</t>
  </si>
  <si>
    <t xml:space="preserve">Month</t>
  </si>
  <si>
    <t xml:space="preserve">Beg. Balance ($)</t>
  </si>
  <si>
    <t xml:space="preserve">Contribution ($)</t>
  </si>
  <si>
    <t xml:space="preserve">Interest Earned ($)</t>
  </si>
  <si>
    <t xml:space="preserve">End Balance ($)</t>
  </si>
  <si>
    <t xml:space="preserve">Cum. Contributed ($)</t>
  </si>
  <si>
    <t xml:space="preserve">0</t>
  </si>
  <si>
    <t xml:space="preserve">58</t>
  </si>
  <si>
    <t xml:space="preserve">59</t>
  </si>
  <si>
    <t xml:space="preserve">60</t>
  </si>
  <si>
    <t xml:space="preserve">61</t>
  </si>
  <si>
    <t xml:space="preserve">FUND RESEARCH NOTES &amp; INVESTMENT RATIONALE</t>
  </si>
  <si>
    <t xml:space="preserve">⚠  Past performance is NOT indicative of future results. All figures are approximate historical averages. Verify at Fidelity.com before investing.</t>
  </si>
  <si>
    <t xml:space="preserve">Fund Description</t>
  </si>
  <si>
    <t xml:space="preserve">Target Alloc.</t>
  </si>
  <si>
    <t xml:space="preserve">Investment Thesis</t>
  </si>
  <si>
    <t xml:space="preserve">Key Risks</t>
  </si>
  <si>
    <t xml:space="preserve">Fidelity Select Semiconductors Portfolio
Actively managed. Focuses on semiconductor manufacturers, designers &amp; equipment makers. Top holdings include NVIDIA, TSMC, ASML, Broadcom, Applied Materials.</t>
  </si>
  <si>
    <t xml:space="preserve">Semiconductors are the fundamental input for AI, EVs, data centers, 5G, and robotics. This is where technological leverage is greatest. FSELX has been one of Fidelity's top performers over 10+ years. High ER is justified by active management in a complex sector.</t>
  </si>
  <si>
    <t xml:space="preserve">Extreme cyclicality — semiconductor stocks can fall 40-50% in downturns. Single-sector concentration. Active management risk. Highest ER in portfolio.</t>
  </si>
  <si>
    <t xml:space="preserve">Fidelity MSCI Information Technology ETF
Passive ETF tracking the MSCI USA IMI IT Index. Broad tech exposure: Apple, Microsoft, NVIDIA, Salesforce, etc. Near-zero cost.</t>
  </si>
  <si>
    <t xml:space="preserve">Provides diversified tech-sector exposure at minimal cost. Complements FSELX by capturing software, IT services, and hardware alongside semiconductors. Lower volatility than FSELX while still capturing major tech growth trends.</t>
  </si>
  <si>
    <t xml:space="preserve">Technology-sector concentration. High P/E valuations sensitive to rising interest rates. Overlaps somewhat with FSELX in semiconductor names.</t>
  </si>
  <si>
    <t xml:space="preserve">Fidelity ZERO Total Market Index Fund
Zero-expense-ratio index fund tracking the Fidelity U.S. Total Investable Market Index. ~2,700 U.S. companies across all market caps.</t>
  </si>
  <si>
    <t xml:space="preserve">Portfolio stabilizer with literally zero cost. Ensures participation in broad U.S. market growth including sectors that may outperform tech in a given cycle. Acts as the diversified anchor to offset sector concentration risk.</t>
  </si>
  <si>
    <t xml:space="preserve">Will underperform in strong tech bull markets. Provides market-rate return only. No unique alpha over a low-cost index.</t>
  </si>
  <si>
    <t xml:space="preserve">Fidelity Small Cap Index Fund
Tracks the Russell 2000 Index of small-cap U.S. equities. Broadly diversified across ~2,000 smaller companies.</t>
  </si>
  <si>
    <t xml:space="preserve">Captures the documented 'small-cap premium' — small companies have historically outperformed large caps over long periods. Adds return potential and diversification outside mega-cap tech names that dominate other holdings.</t>
  </si>
  <si>
    <t xml:space="preserve">Higher volatility than large-cap funds. Small caps often fall harder in recessions and take longer to recover. Less liquidity.</t>
  </si>
  <si>
    <t xml:space="preserve">Fidelity ZERO International Index Fund
Zero-expense-ratio fund tracking the Fidelity Global ex U.S. Index. Covers developed and emerging markets outside the United States.</t>
  </si>
  <si>
    <t xml:space="preserve">Currency diversification and international exposure at zero cost. Hedge against U.S.-specific economic or political risk. Small 5% allocation keeps the portfolio U.S.-growth-focused while adding a global buffer.</t>
  </si>
  <si>
    <t xml:space="preserve">Currency risk, geopolitical risk, withholding taxes on dividends. International equities have underperformed U.S. equities over the past decade.</t>
  </si>
  <si>
    <t xml:space="preserve">REBALANCING STRATEGY: Review and rebalance annually. If any single fund drifts &gt;5% from target, redirect new contributions (not redemptions) to underweight funds to avoid taxable events. Reassess allocation at age 60 and shift 10-15% to FXNAX (bond index) for capital preservation.</t>
  </si>
  <si>
    <t xml:space="preserve">CURRENT HOLDINGS ANALYSIS — PORTFOLIO SNAPSHOT (MAY 2026)</t>
  </si>
  <si>
    <t xml:space="preserve">⚠  For educational purposes only — not professional financial advice. This analysis assumes the portfolio shown is separate from or overlapping with the HSA.</t>
  </si>
  <si>
    <t xml:space="preserve">CURRENT HOLDINGS BREAKDOWN</t>
  </si>
  <si>
    <t xml:space="preserve">Holding</t>
  </si>
  <si>
    <t xml:space="preserve">Shares / Qty</t>
  </si>
  <si>
    <t xml:space="preserve">Current Value</t>
  </si>
  <si>
    <t xml:space="preserve">Type / Status</t>
  </si>
  <si>
    <t xml:space="preserve">Assessment</t>
  </si>
  <si>
    <t xml:space="preserve">NFLX 106 Call
Jun 18 2026</t>
  </si>
  <si>
    <t xml:space="preserve">1 contract</t>
  </si>
  <si>
    <t xml:space="preserve">Short-Term Options
⚠ EXPIRES ~6 WEEKS</t>
  </si>
  <si>
    <t xml:space="preserve">CRITICAL: Cannot hold to age 62. Expires Jun 18, 2026. Down 10% today. Needs an exit decision now — let expire or close &amp; redeploy.</t>
  </si>
  <si>
    <t xml:space="preserve">FNARX
Fidelity Advisor New Insights</t>
  </si>
  <si>
    <t xml:space="preserve">19.075 shares</t>
  </si>
  <si>
    <t xml:space="preserve">Actively Managed
Growth Mutual Fund</t>
  </si>
  <si>
    <t xml:space="preserve">Growth-oriented but likely carries higher expense ratio than index alternatives. Review ER. Could be consolidated into FSELX or FTEC for lower cost &amp; higher growth.</t>
  </si>
  <si>
    <t xml:space="preserve">FNILX
Fidelity ZERO Large Cap Index</t>
  </si>
  <si>
    <t xml:space="preserve">47.601 shares</t>
  </si>
  <si>
    <t xml:space="preserve">Passive Index Fund
✔ 0% Expense Ratio</t>
  </si>
  <si>
    <t xml:space="preserve">STRONGEST position in portfolio. Zero cost, broad large-cap exposure. Aligns with recommended strategy. HOLD and consider increasing allocation.</t>
  </si>
  <si>
    <t xml:space="preserve">ONDS
Ondas Holdings Inc.</t>
  </si>
  <si>
    <t xml:space="preserve">55 shares</t>
  </si>
  <si>
    <t xml:space="preserve">Individual Small-Cap Stock
⚠ HIGHLY SPECULATIVE</t>
  </si>
  <si>
    <t xml:space="preserve">Micro-cap individual stock with binary risk profile. Not suitable as a core retirement holding. Could go to zero or multiply — inappropriate concentration risk.</t>
  </si>
  <si>
    <t xml:space="preserve">QPISQ
Cash / Money Market</t>
  </si>
  <si>
    <t xml:space="preserve">595.33 shares</t>
  </si>
  <si>
    <t xml:space="preserve">Cash / Money Market
⚠ RETURN DRAG</t>
  </si>
  <si>
    <t xml:space="preserve">At ~3-4% money market rates, this 16.5% allocation significantly drags portfolio returns. Idle capital that should be deployed into growth funds.</t>
  </si>
  <si>
    <t xml:space="preserve">TOTAL PORTFOLIO VALUE</t>
  </si>
  <si>
    <t xml:space="preserve">Note: NFLX Call value ($27) is the contract premium, not 100× notional.</t>
  </si>
  <si>
    <t xml:space="preserve">PORTFOLIO WEAKNESSES VS. AGGRESSIVE GROWTH TARGET</t>
  </si>
  <si>
    <t xml:space="preserve">❶  Expiring Option</t>
  </si>
  <si>
    <t xml:space="preserve">NFLX 106 Call expires June 18, 2026 — within 6 weeks. The concept of 'holding to age 62' does not apply. Needs a decision now.</t>
  </si>
  <si>
    <t xml:space="preserve">❷  Cash Drag (16.5%)</t>
  </si>
  <si>
    <t xml:space="preserve">QPISQ earns ~3-4% while your growth target is 15%. $595 sitting idle costs you roughly $660+ in foregone growth over 5 years.</t>
  </si>
  <si>
    <t xml:space="preserve">❸  Single-Stock Risk (13.8%)</t>
  </si>
  <si>
    <t xml:space="preserve">ONDS is a speculative micro-cap. Individual stocks can go to zero. Concentration in a single name contradicts sound retirement planning.</t>
  </si>
  <si>
    <t xml:space="preserve">❹  No Semiconductor Exposure</t>
  </si>
  <si>
    <t xml:space="preserve">The highest-return Fidelity fund (FSELX, ~28% historical 10yr avg) is absent. This is the primary driver of the 15% target in our recommended strategy.</t>
  </si>
  <si>
    <t xml:space="preserve">❺  Missing FSELX, FTEC, FSSNX, FZILX</t>
  </si>
  <si>
    <t xml:space="preserve">Only FNILX aligns with the recommended aggressive portfolio. 70%+ of the portfolio is misaligned with the growth strategy we built.</t>
  </si>
  <si>
    <t xml:space="preserve">5-YEAR PROJECTION — CURRENT HOLDINGS vs. RECOMMENDED STRATEGY</t>
  </si>
  <si>
    <t xml:space="preserve">Current portfolio: ~$3,612 starting value, NO additional contributions assumed  |  Recommended strategy: $3,612 starting value + $400/month contributions  |  All returns are projections, not guarantees.</t>
  </si>
  <si>
    <t xml:space="preserve">CURRENT PORTFOLIO
(No New Contributions)</t>
  </si>
  <si>
    <t xml:space="preserve">RECOMMENDED STRATEGY
($400/mo Contributions)</t>
  </si>
  <si>
    <t xml:space="preserve">ADVANTAGE
(Recommended vs. Current)</t>
  </si>
  <si>
    <t xml:space="preserve">Blended 8%
Return Est.</t>
  </si>
  <si>
    <t xml:space="preserve">If FNILX Only
(10% Return)</t>
  </si>
  <si>
    <t xml:space="preserve">Target (15%)
W/ Contributions</t>
  </si>
  <si>
    <t xml:space="preserve">Base (10%)
W/ Contributions</t>
  </si>
  <si>
    <t xml:space="preserve">Extra Value
@ 15% Target</t>
  </si>
  <si>
    <t xml:space="preserve">—</t>
  </si>
  <si>
    <t xml:space="preserve">AT AGE 62 (Year 5):</t>
  </si>
  <si>
    <t xml:space="preserve">Gain vs. Start:</t>
  </si>
  <si>
    <t xml:space="preserve">★  BOTTOM LINE: Holding the current portfolio as-is (blended ~8% return, no new contributions) projects to ~$5,308 at age 62 — a gain of ~$1,695 on your starting $3,612.
Transitioning to the recommended aggressive strategy AND adding $400/month projects to ~$43,042 — a difference of ~$37,734 in your favor.
The gap is driven by two factors: (1) the $400/month contributions compounding at 15% vs. no contributions, and (2) the recommended portfolio's higher-growth fund mix (FSELX/FTEC) vs. a blend with cash drag and a speculative individual stock. The NFLX call option also needs an exit plan within the next 6 weeks.</t>
  </si>
  <si>
    <t xml:space="preserve">INDIVIDUAL HOLDING PROJECTIONS — CURRENT PORTFOLIO (HOLD SCENARIO, NO NEW CONTRIBUTIONS)</t>
  </si>
  <si>
    <t xml:space="preserve">Assumed Rate</t>
  </si>
  <si>
    <t xml:space="preserve">Yr 1</t>
  </si>
  <si>
    <t xml:space="preserve">Yr 2</t>
  </si>
  <si>
    <t xml:space="preserve">Yr 3</t>
  </si>
  <si>
    <t xml:space="preserve">Yr 4</t>
  </si>
  <si>
    <t xml:space="preserve">Yr 5 (Age 62)</t>
  </si>
  <si>
    <t xml:space="preserve">EXPIRES JUN 2026 — Cannot project. Assume $0 by Yr 1.</t>
  </si>
  <si>
    <t xml:space="preserve">FNARX
Fidelity Advisor Growth</t>
  </si>
  <si>
    <t xml:space="preserve">8% assumed (growth fund, higher ER than index). Consider switching to FSELX.</t>
  </si>
  <si>
    <t xml:space="preserve">FNILX
Fidelity ZERO Large Cap</t>
  </si>
  <si>
    <t xml:space="preserve">10% assumed (historical S&amp;P 500 avg). KEEP — aligns with strategy.</t>
  </si>
  <si>
    <t xml:space="preserve">ONDS
Ondas Holdings (speculative)</t>
  </si>
  <si>
    <t xml:space="preserve">0% assumed (conservative — speculative micro-cap could go to $0 or 5x). HIGH RISK.</t>
  </si>
  <si>
    <t xml:space="preserve">4% assumed (money market rate). REDEPLOY into growth funds.</t>
  </si>
  <si>
    <t xml:space="preserve">TOTAL (Hold Scenario, No Contributions)</t>
  </si>
  <si>
    <t xml:space="preserve">At age 62: ~$5,061 (vs. Recommended $43,042)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</si>
</sst>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"/>
    <numFmt numFmtId="167" formatCode="0.0%"/>
    <numFmt numFmtId="168" formatCode="0.0000%"/>
    <numFmt numFmtId="169" formatCode="0%"/>
    <numFmt numFmtId="170" formatCode="0.00%"/>
    <numFmt numFmtId="171" formatCode="\$#,##0.00"/>
    <numFmt numFmtId="172" formatCode="\$#,##0"/>
    <numFmt numFmtId="173" formatCode="@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sz val="10"/>
      <color rgb="FFC9A84C"/>
      <name val="Arial"/>
      <family val="0"/>
      <charset val="1"/>
    </font>
    <font>
      <sz val="9"/>
      <color rgb="FF00376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00376B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10"/>
      <color rgb="FF00B050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376B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9"/>
      <color rgb="FF2E75B6"/>
      <name val="Arial"/>
      <family val="0"/>
      <charset val="1"/>
    </font>
    <font>
      <i val="true"/>
      <sz val="8"/>
      <color rgb="FF2E75B6"/>
      <name val="Arial"/>
      <family val="0"/>
      <charset val="1"/>
    </font>
    <font>
      <b val="true"/>
      <sz val="9"/>
      <color rgb="FF00B050"/>
      <name val="Arial"/>
      <family val="0"/>
      <charset val="1"/>
    </font>
    <font>
      <i val="true"/>
      <sz val="8"/>
      <color rgb="FF00B050"/>
      <name val="Arial"/>
      <family val="0"/>
      <charset val="1"/>
    </font>
    <font>
      <b val="true"/>
      <sz val="9"/>
      <color rgb="FFC9A84C"/>
      <name val="Arial"/>
      <family val="0"/>
      <charset val="1"/>
    </font>
    <font>
      <i val="true"/>
      <sz val="8"/>
      <color rgb="FFC9A84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00376B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00B050"/>
        <bgColor rgb="FF008080"/>
      </patternFill>
    </fill>
    <fill>
      <patternFill patternType="solid">
        <fgColor rgb="FFC9A84C"/>
        <bgColor rgb="FFFF99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2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3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3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8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34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3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3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5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34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8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1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8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8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0" fillId="8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1" fillId="1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2" fillId="1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7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C9A84C"/>
      <rgbColor rgb="FF00376B"/>
      <rgbColor rgb="FF00B050"/>
      <rgbColor rgb="FF003300"/>
      <rgbColor rgb="FF375623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7" min="4" style="1" width="16"/>
    <col collapsed="false" customWidth="true" hidden="false" outlineLevel="0" max="8" min="8" style="1" width="1.51"/>
  </cols>
  <sheetData>
    <row r="1" customFormat="false" ht="48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24" hidden="false" customHeight="true" outlineLevel="0" collapsed="false">
      <c r="B2" s="3" t="s">
        <v>1</v>
      </c>
      <c r="C2" s="3"/>
      <c r="D2" s="3"/>
      <c r="E2" s="3"/>
      <c r="F2" s="3"/>
      <c r="G2" s="3"/>
    </row>
    <row r="3" customFormat="false" ht="27.75" hidden="false" customHeight="true" outlineLevel="0" collapsed="false">
      <c r="B3" s="4" t="s">
        <v>2</v>
      </c>
      <c r="C3" s="4"/>
      <c r="D3" s="4"/>
      <c r="E3" s="4"/>
      <c r="F3" s="4"/>
      <c r="G3" s="4"/>
    </row>
    <row r="4" customFormat="false" ht="7.5" hidden="false" customHeight="true" outlineLevel="0" collapsed="false"/>
    <row r="5" customFormat="false" ht="21.75" hidden="false" customHeight="true" outlineLevel="0" collapsed="false">
      <c r="B5" s="3" t="s">
        <v>3</v>
      </c>
      <c r="C5" s="3"/>
      <c r="D5" s="3"/>
      <c r="E5" s="3"/>
      <c r="F5" s="3"/>
      <c r="G5" s="3"/>
    </row>
    <row r="6" customFormat="false" ht="18" hidden="false" customHeight="true" outlineLevel="0" collapsed="false">
      <c r="B6" s="5" t="s">
        <v>4</v>
      </c>
      <c r="C6" s="6" t="s">
        <v>5</v>
      </c>
      <c r="D6" s="7"/>
      <c r="E6" s="8" t="s">
        <v>6</v>
      </c>
      <c r="F6" s="9" t="s">
        <v>7</v>
      </c>
      <c r="G6" s="9"/>
    </row>
    <row r="7" customFormat="false" ht="18" hidden="false" customHeight="true" outlineLevel="0" collapsed="false">
      <c r="B7" s="10" t="s">
        <v>8</v>
      </c>
      <c r="C7" s="11" t="s">
        <v>9</v>
      </c>
      <c r="D7" s="12"/>
      <c r="E7" s="13" t="s">
        <v>10</v>
      </c>
      <c r="F7" s="14" t="s">
        <v>11</v>
      </c>
      <c r="G7" s="14"/>
    </row>
    <row r="8" customFormat="false" ht="18" hidden="false" customHeight="true" outlineLevel="0" collapsed="false">
      <c r="B8" s="5" t="s">
        <v>12</v>
      </c>
      <c r="C8" s="6" t="s">
        <v>13</v>
      </c>
      <c r="D8" s="7"/>
      <c r="E8" s="8" t="s">
        <v>14</v>
      </c>
      <c r="F8" s="9" t="s">
        <v>15</v>
      </c>
      <c r="G8" s="9"/>
    </row>
    <row r="9" customFormat="false" ht="18" hidden="false" customHeight="true" outlineLevel="0" collapsed="false">
      <c r="B9" s="10" t="s">
        <v>16</v>
      </c>
      <c r="C9" s="11" t="s">
        <v>17</v>
      </c>
      <c r="D9" s="12"/>
      <c r="E9" s="13" t="s">
        <v>18</v>
      </c>
      <c r="F9" s="14" t="s">
        <v>19</v>
      </c>
      <c r="G9" s="14"/>
    </row>
    <row r="10" customFormat="false" ht="18" hidden="false" customHeight="true" outlineLevel="0" collapsed="false">
      <c r="B10" s="15" t="s">
        <v>20</v>
      </c>
      <c r="C10" s="16" t="s">
        <v>21</v>
      </c>
      <c r="D10" s="17"/>
      <c r="E10" s="18" t="s">
        <v>22</v>
      </c>
      <c r="F10" s="19" t="s">
        <v>23</v>
      </c>
      <c r="G10" s="19"/>
    </row>
    <row r="11" customFormat="false" ht="7.5" hidden="false" customHeight="true" outlineLevel="0" collapsed="false"/>
    <row r="12" customFormat="false" ht="21.75" hidden="false" customHeight="true" outlineLevel="0" collapsed="false">
      <c r="B12" s="3" t="s">
        <v>24</v>
      </c>
      <c r="C12" s="3"/>
      <c r="D12" s="3"/>
      <c r="E12" s="3"/>
      <c r="F12" s="3"/>
      <c r="G12" s="3"/>
    </row>
    <row r="13" customFormat="false" ht="19.5" hidden="false" customHeight="true" outlineLevel="0" collapsed="false">
      <c r="B13" s="20" t="s">
        <v>25</v>
      </c>
      <c r="C13" s="20" t="s">
        <v>26</v>
      </c>
      <c r="D13" s="20" t="s">
        <v>27</v>
      </c>
      <c r="E13" s="20" t="s">
        <v>28</v>
      </c>
      <c r="F13" s="20" t="s">
        <v>29</v>
      </c>
      <c r="G13" s="20" t="s">
        <v>30</v>
      </c>
    </row>
    <row r="14" customFormat="false" ht="18" hidden="false" customHeight="true" outlineLevel="0" collapsed="false">
      <c r="B14" s="21" t="s">
        <v>31</v>
      </c>
      <c r="C14" s="7" t="s">
        <v>32</v>
      </c>
      <c r="D14" s="22" t="s">
        <v>33</v>
      </c>
      <c r="E14" s="22" t="s">
        <v>34</v>
      </c>
      <c r="F14" s="7" t="s">
        <v>35</v>
      </c>
      <c r="G14" s="23" t="s">
        <v>36</v>
      </c>
    </row>
    <row r="15" customFormat="false" ht="18" hidden="false" customHeight="true" outlineLevel="0" collapsed="false">
      <c r="B15" s="24" t="s">
        <v>37</v>
      </c>
      <c r="C15" s="12" t="s">
        <v>38</v>
      </c>
      <c r="D15" s="25" t="s">
        <v>39</v>
      </c>
      <c r="E15" s="25" t="s">
        <v>40</v>
      </c>
      <c r="F15" s="12" t="s">
        <v>41</v>
      </c>
      <c r="G15" s="26" t="s">
        <v>42</v>
      </c>
    </row>
    <row r="16" customFormat="false" ht="18" hidden="false" customHeight="true" outlineLevel="0" collapsed="false">
      <c r="B16" s="21" t="s">
        <v>43</v>
      </c>
      <c r="C16" s="7" t="s">
        <v>44</v>
      </c>
      <c r="D16" s="22" t="s">
        <v>45</v>
      </c>
      <c r="E16" s="22" t="s">
        <v>46</v>
      </c>
      <c r="F16" s="7" t="s">
        <v>47</v>
      </c>
      <c r="G16" s="23" t="s">
        <v>48</v>
      </c>
    </row>
    <row r="17" customFormat="false" ht="18" hidden="false" customHeight="true" outlineLevel="0" collapsed="false">
      <c r="B17" s="24" t="s">
        <v>49</v>
      </c>
      <c r="C17" s="12" t="s">
        <v>50</v>
      </c>
      <c r="D17" s="25" t="s">
        <v>51</v>
      </c>
      <c r="E17" s="25" t="s">
        <v>52</v>
      </c>
      <c r="F17" s="12" t="s">
        <v>53</v>
      </c>
      <c r="G17" s="26" t="s">
        <v>54</v>
      </c>
    </row>
    <row r="18" customFormat="false" ht="18" hidden="false" customHeight="true" outlineLevel="0" collapsed="false">
      <c r="B18" s="21" t="s">
        <v>55</v>
      </c>
      <c r="C18" s="7" t="s">
        <v>56</v>
      </c>
      <c r="D18" s="22" t="s">
        <v>57</v>
      </c>
      <c r="E18" s="22" t="s">
        <v>46</v>
      </c>
      <c r="F18" s="7" t="s">
        <v>58</v>
      </c>
      <c r="G18" s="23" t="s">
        <v>59</v>
      </c>
    </row>
    <row r="19" customFormat="false" ht="18" hidden="false" customHeight="true" outlineLevel="0" collapsed="false">
      <c r="B19" s="27" t="s">
        <v>60</v>
      </c>
      <c r="C19" s="27"/>
      <c r="D19" s="28" t="s">
        <v>61</v>
      </c>
      <c r="E19" s="28" t="s">
        <v>62</v>
      </c>
      <c r="F19" s="29" t="s">
        <v>63</v>
      </c>
      <c r="G19" s="29"/>
    </row>
    <row r="20" customFormat="false" ht="7.5" hidden="false" customHeight="true" outlineLevel="0" collapsed="false"/>
    <row r="21" customFormat="false" ht="21.75" hidden="false" customHeight="true" outlineLevel="0" collapsed="false">
      <c r="B21" s="3" t="s">
        <v>64</v>
      </c>
      <c r="C21" s="3"/>
      <c r="D21" s="3"/>
      <c r="E21" s="3"/>
      <c r="F21" s="3"/>
      <c r="G21" s="3"/>
    </row>
    <row r="22" customFormat="false" ht="19.5" hidden="false" customHeight="true" outlineLevel="0" collapsed="false">
      <c r="B22" s="20" t="s">
        <v>65</v>
      </c>
      <c r="C22" s="20" t="s">
        <v>66</v>
      </c>
      <c r="D22" s="20" t="s">
        <v>67</v>
      </c>
      <c r="E22" s="20" t="s">
        <v>68</v>
      </c>
      <c r="F22" s="20" t="s">
        <v>69</v>
      </c>
      <c r="G22" s="20" t="s">
        <v>70</v>
      </c>
    </row>
    <row r="23" customFormat="false" ht="19.5" hidden="false" customHeight="true" outlineLevel="0" collapsed="false">
      <c r="B23" s="30" t="s">
        <v>71</v>
      </c>
      <c r="C23" s="31" t="s">
        <v>57</v>
      </c>
      <c r="D23" s="32" t="s">
        <v>72</v>
      </c>
      <c r="E23" s="32" t="s">
        <v>73</v>
      </c>
      <c r="F23" s="32" t="s">
        <v>74</v>
      </c>
      <c r="G23" s="33" t="s">
        <v>75</v>
      </c>
    </row>
    <row r="24" customFormat="false" ht="19.5" hidden="false" customHeight="true" outlineLevel="0" collapsed="false">
      <c r="B24" s="34" t="s">
        <v>76</v>
      </c>
      <c r="C24" s="35" t="s">
        <v>51</v>
      </c>
      <c r="D24" s="36" t="s">
        <v>77</v>
      </c>
      <c r="E24" s="36" t="s">
        <v>73</v>
      </c>
      <c r="F24" s="36" t="s">
        <v>78</v>
      </c>
      <c r="G24" s="37" t="s">
        <v>79</v>
      </c>
    </row>
    <row r="25" customFormat="false" ht="19.5" hidden="false" customHeight="true" outlineLevel="0" collapsed="false">
      <c r="B25" s="38" t="s">
        <v>80</v>
      </c>
      <c r="C25" s="39" t="s">
        <v>81</v>
      </c>
      <c r="D25" s="40" t="s">
        <v>82</v>
      </c>
      <c r="E25" s="41" t="s">
        <v>73</v>
      </c>
      <c r="F25" s="40" t="s">
        <v>83</v>
      </c>
      <c r="G25" s="42" t="s">
        <v>84</v>
      </c>
    </row>
    <row r="26" customFormat="false" ht="19.5" hidden="false" customHeight="true" outlineLevel="0" collapsed="false">
      <c r="B26" s="43" t="s">
        <v>85</v>
      </c>
      <c r="C26" s="44" t="s">
        <v>45</v>
      </c>
      <c r="D26" s="45" t="s">
        <v>86</v>
      </c>
      <c r="E26" s="46" t="s">
        <v>73</v>
      </c>
      <c r="F26" s="45" t="s">
        <v>87</v>
      </c>
      <c r="G26" s="47" t="s">
        <v>88</v>
      </c>
    </row>
    <row r="27" customFormat="false" ht="7.5" hidden="false" customHeight="true" outlineLevel="0" collapsed="false"/>
    <row r="28" customFormat="false" ht="21.75" hidden="false" customHeight="true" outlineLevel="0" collapsed="false">
      <c r="B28" s="3" t="s">
        <v>89</v>
      </c>
      <c r="C28" s="3"/>
      <c r="D28" s="3"/>
      <c r="E28" s="3"/>
      <c r="F28" s="3"/>
      <c r="G28" s="3"/>
    </row>
    <row r="29" customFormat="false" ht="15.75" hidden="false" customHeight="true" outlineLevel="0" collapsed="false">
      <c r="B29" s="48" t="s">
        <v>90</v>
      </c>
      <c r="C29" s="48"/>
      <c r="D29" s="48"/>
      <c r="E29" s="48"/>
      <c r="F29" s="48"/>
      <c r="G29" s="48"/>
    </row>
    <row r="30" customFormat="false" ht="15.75" hidden="false" customHeight="true" outlineLevel="0" collapsed="false">
      <c r="B30" s="49" t="s">
        <v>91</v>
      </c>
      <c r="C30" s="49"/>
      <c r="D30" s="49"/>
      <c r="E30" s="49"/>
      <c r="F30" s="49"/>
      <c r="G30" s="49"/>
    </row>
    <row r="31" customFormat="false" ht="15.75" hidden="false" customHeight="true" outlineLevel="0" collapsed="false">
      <c r="B31" s="48" t="s">
        <v>92</v>
      </c>
      <c r="C31" s="48"/>
      <c r="D31" s="48"/>
      <c r="E31" s="48"/>
      <c r="F31" s="48"/>
      <c r="G31" s="48"/>
    </row>
    <row r="32" customFormat="false" ht="15.75" hidden="false" customHeight="true" outlineLevel="0" collapsed="false">
      <c r="B32" s="49" t="s">
        <v>93</v>
      </c>
      <c r="C32" s="49"/>
      <c r="D32" s="49"/>
      <c r="E32" s="49"/>
      <c r="F32" s="49"/>
      <c r="G32" s="49"/>
    </row>
    <row r="33" customFormat="false" ht="15.75" hidden="false" customHeight="true" outlineLevel="0" collapsed="false">
      <c r="B33" s="48" t="s">
        <v>94</v>
      </c>
      <c r="C33" s="48"/>
      <c r="D33" s="48"/>
      <c r="E33" s="48"/>
      <c r="F33" s="48"/>
      <c r="G33" s="48"/>
    </row>
    <row r="34" customFormat="false" ht="15.75" hidden="false" customHeight="true" outlineLevel="0" collapsed="false">
      <c r="B34" s="50" t="s">
        <v>95</v>
      </c>
      <c r="C34" s="50"/>
      <c r="D34" s="50"/>
      <c r="E34" s="50"/>
      <c r="F34" s="50"/>
      <c r="G34" s="50"/>
    </row>
  </sheetData>
  <mergeCells count="20">
    <mergeCell ref="B1:G1"/>
    <mergeCell ref="B2:G2"/>
    <mergeCell ref="B3:G3"/>
    <mergeCell ref="B5:G5"/>
    <mergeCell ref="F6:G6"/>
    <mergeCell ref="F7:G7"/>
    <mergeCell ref="F8:G8"/>
    <mergeCell ref="F9:G9"/>
    <mergeCell ref="F10:G10"/>
    <mergeCell ref="B12:G12"/>
    <mergeCell ref="B19:C19"/>
    <mergeCell ref="F19:G19"/>
    <mergeCell ref="B21:G21"/>
    <mergeCell ref="B28:G28"/>
    <mergeCell ref="B29:G29"/>
    <mergeCell ref="B30:G30"/>
    <mergeCell ref="B31:G31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1.51"/>
  </cols>
  <sheetData>
    <row r="1" customFormat="false" ht="37.5" hidden="false" customHeight="true" outlineLevel="0" collapsed="false">
      <c r="B1" s="51" t="s">
        <v>96</v>
      </c>
      <c r="C1" s="51"/>
      <c r="D1" s="51"/>
    </row>
    <row r="2" customFormat="false" ht="15.75" hidden="false" customHeight="true" outlineLevel="0" collapsed="false">
      <c r="B2" s="52" t="s">
        <v>97</v>
      </c>
      <c r="C2" s="52"/>
      <c r="D2" s="5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98</v>
      </c>
      <c r="C4" s="3"/>
      <c r="D4" s="3"/>
    </row>
    <row r="5" customFormat="false" ht="19.5" hidden="false" customHeight="true" outlineLevel="0" collapsed="false">
      <c r="B5" s="20" t="s">
        <v>99</v>
      </c>
      <c r="C5" s="20" t="s">
        <v>100</v>
      </c>
      <c r="D5" s="20" t="s">
        <v>101</v>
      </c>
    </row>
    <row r="6" customFormat="false" ht="18" hidden="false" customHeight="true" outlineLevel="0" collapsed="false">
      <c r="B6" s="30" t="s">
        <v>102</v>
      </c>
      <c r="C6" s="53" t="n">
        <v>3200</v>
      </c>
      <c r="D6" s="54" t="s">
        <v>103</v>
      </c>
    </row>
    <row r="7" customFormat="false" ht="18" hidden="false" customHeight="true" outlineLevel="0" collapsed="false">
      <c r="B7" s="34" t="s">
        <v>104</v>
      </c>
      <c r="C7" s="55" t="n">
        <v>400</v>
      </c>
      <c r="D7" s="56" t="s">
        <v>105</v>
      </c>
    </row>
    <row r="8" customFormat="false" ht="18" hidden="false" customHeight="true" outlineLevel="0" collapsed="false">
      <c r="B8" s="30" t="s">
        <v>106</v>
      </c>
      <c r="C8" s="57" t="n">
        <f aca="false">C6*12</f>
        <v>38400</v>
      </c>
      <c r="D8" s="54" t="s">
        <v>107</v>
      </c>
    </row>
    <row r="9" customFormat="false" ht="18" hidden="false" customHeight="true" outlineLevel="0" collapsed="false">
      <c r="B9" s="34" t="s">
        <v>108</v>
      </c>
      <c r="C9" s="58" t="n">
        <v>57</v>
      </c>
      <c r="D9" s="56"/>
    </row>
    <row r="10" customFormat="false" ht="18" hidden="false" customHeight="true" outlineLevel="0" collapsed="false">
      <c r="B10" s="30" t="s">
        <v>109</v>
      </c>
      <c r="C10" s="59" t="n">
        <v>62</v>
      </c>
      <c r="D10" s="54"/>
    </row>
    <row r="11" customFormat="false" ht="18" hidden="false" customHeight="true" outlineLevel="0" collapsed="false">
      <c r="B11" s="34" t="s">
        <v>8</v>
      </c>
      <c r="C11" s="60" t="n">
        <f aca="false">C9-C8</f>
        <v>-38343</v>
      </c>
      <c r="D11" s="56" t="s">
        <v>110</v>
      </c>
    </row>
    <row r="12" customFormat="false" ht="18" hidden="false" customHeight="true" outlineLevel="0" collapsed="false">
      <c r="B12" s="30" t="s">
        <v>111</v>
      </c>
      <c r="C12" s="61" t="n">
        <v>0.05</v>
      </c>
      <c r="D12" s="54" t="s">
        <v>112</v>
      </c>
    </row>
    <row r="13" customFormat="false" ht="18" hidden="false" customHeight="true" outlineLevel="0" collapsed="false">
      <c r="B13" s="34" t="s">
        <v>113</v>
      </c>
      <c r="C13" s="62" t="n">
        <v>0.1</v>
      </c>
      <c r="D13" s="56" t="s">
        <v>114</v>
      </c>
    </row>
    <row r="14" customFormat="false" ht="18" hidden="false" customHeight="true" outlineLevel="0" collapsed="false">
      <c r="B14" s="30" t="s">
        <v>115</v>
      </c>
      <c r="C14" s="61" t="n">
        <v>0.15</v>
      </c>
      <c r="D14" s="54" t="s">
        <v>116</v>
      </c>
    </row>
    <row r="15" customFormat="false" ht="18" hidden="false" customHeight="true" outlineLevel="0" collapsed="false">
      <c r="B15" s="34" t="s">
        <v>117</v>
      </c>
      <c r="C15" s="62" t="n">
        <v>0.2</v>
      </c>
      <c r="D15" s="56" t="s">
        <v>118</v>
      </c>
    </row>
    <row r="16" customFormat="false" ht="18" hidden="false" customHeight="true" outlineLevel="0" collapsed="false">
      <c r="B16" s="30" t="s">
        <v>119</v>
      </c>
      <c r="C16" s="63" t="n">
        <f aca="false">C11/12</f>
        <v>-3195.25</v>
      </c>
      <c r="D16" s="54" t="s">
        <v>110</v>
      </c>
    </row>
    <row r="17" customFormat="false" ht="18" hidden="false" customHeight="true" outlineLevel="0" collapsed="false">
      <c r="B17" s="34" t="s">
        <v>120</v>
      </c>
      <c r="C17" s="64" t="n">
        <f aca="false">C12/12</f>
        <v>0.00416666666666667</v>
      </c>
      <c r="D17" s="56" t="s">
        <v>110</v>
      </c>
    </row>
    <row r="18" customFormat="false" ht="18" hidden="false" customHeight="true" outlineLevel="0" collapsed="false">
      <c r="B18" s="30" t="s">
        <v>121</v>
      </c>
      <c r="C18" s="63" t="n">
        <f aca="false">C13/12</f>
        <v>0.00833333333333333</v>
      </c>
      <c r="D18" s="54" t="s">
        <v>110</v>
      </c>
    </row>
    <row r="19" customFormat="false" ht="18" hidden="false" customHeight="true" outlineLevel="0" collapsed="false">
      <c r="B19" s="34" t="s">
        <v>122</v>
      </c>
      <c r="C19" s="64" t="n">
        <f aca="false">C14/12</f>
        <v>0.0125</v>
      </c>
      <c r="D19" s="56" t="s">
        <v>110</v>
      </c>
    </row>
    <row r="20" customFormat="false" ht="1.5" hidden="false" customHeight="true" outlineLevel="0" collapsed="false">
      <c r="B20" s="65"/>
      <c r="C20" s="66"/>
      <c r="D20" s="67"/>
    </row>
    <row r="21" customFormat="false" ht="27.75" hidden="false" customHeight="true" outlineLevel="0" collapsed="false">
      <c r="B21" s="68" t="s">
        <v>123</v>
      </c>
      <c r="C21" s="68"/>
      <c r="D21" s="68"/>
    </row>
    <row r="22" customFormat="false" ht="7.5" hidden="false" customHeight="true" outlineLevel="0" collapsed="false"/>
    <row r="23" customFormat="false" ht="21.75" hidden="false" customHeight="true" outlineLevel="0" collapsed="false">
      <c r="B23" s="3" t="s">
        <v>124</v>
      </c>
      <c r="C23" s="3"/>
      <c r="D23" s="3"/>
    </row>
    <row r="24" customFormat="false" ht="19.5" hidden="false" customHeight="true" outlineLevel="0" collapsed="false">
      <c r="B24" s="20" t="s">
        <v>25</v>
      </c>
      <c r="C24" s="20" t="s">
        <v>125</v>
      </c>
      <c r="D24" s="20" t="s">
        <v>126</v>
      </c>
    </row>
    <row r="25" customFormat="false" ht="18" hidden="false" customHeight="true" outlineLevel="0" collapsed="false">
      <c r="B25" s="21" t="s">
        <v>31</v>
      </c>
      <c r="C25" s="69" t="n">
        <v>0.35</v>
      </c>
      <c r="D25" s="70" t="n">
        <v>0.0068</v>
      </c>
    </row>
    <row r="26" customFormat="false" ht="18" hidden="false" customHeight="true" outlineLevel="0" collapsed="false">
      <c r="B26" s="24" t="s">
        <v>37</v>
      </c>
      <c r="C26" s="71" t="n">
        <v>0.3</v>
      </c>
      <c r="D26" s="72" t="n">
        <v>0.0008</v>
      </c>
    </row>
    <row r="27" customFormat="false" ht="18" hidden="false" customHeight="true" outlineLevel="0" collapsed="false">
      <c r="B27" s="21" t="s">
        <v>43</v>
      </c>
      <c r="C27" s="69" t="n">
        <v>0.2</v>
      </c>
      <c r="D27" s="70" t="n">
        <v>0</v>
      </c>
    </row>
    <row r="28" customFormat="false" ht="18" hidden="false" customHeight="true" outlineLevel="0" collapsed="false">
      <c r="B28" s="24" t="s">
        <v>49</v>
      </c>
      <c r="C28" s="71" t="n">
        <v>0.1</v>
      </c>
      <c r="D28" s="72" t="n">
        <v>0.00025</v>
      </c>
    </row>
    <row r="29" customFormat="false" ht="18" hidden="false" customHeight="true" outlineLevel="0" collapsed="false">
      <c r="B29" s="21" t="s">
        <v>55</v>
      </c>
      <c r="C29" s="69" t="n">
        <v>0.05</v>
      </c>
      <c r="D29" s="70" t="n">
        <v>0</v>
      </c>
    </row>
    <row r="30" customFormat="false" ht="18" hidden="false" customHeight="true" outlineLevel="0" collapsed="false">
      <c r="B30" s="27" t="s">
        <v>127</v>
      </c>
      <c r="C30" s="73" t="n">
        <f aca="false">SUM(C25:C29)</f>
        <v>1</v>
      </c>
      <c r="D30" s="74" t="n">
        <f aca="false">SUMPRODUCT(C25:C29,D25:D29)</f>
        <v>0.002645</v>
      </c>
    </row>
  </sheetData>
  <mergeCells count="5">
    <mergeCell ref="B1:D1"/>
    <mergeCell ref="B2:D2"/>
    <mergeCell ref="B4:D4"/>
    <mergeCell ref="B21:D21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.51"/>
    <col collapsed="false" customWidth="true" hidden="false" outlineLevel="0" max="3" min="2" style="1" width="9"/>
    <col collapsed="false" customWidth="true" hidden="false" outlineLevel="0" max="8" min="4" style="1" width="18"/>
    <col collapsed="false" customWidth="true" hidden="false" outlineLevel="0" max="9" min="9" style="1" width="1.51"/>
  </cols>
  <sheetData>
    <row r="1" customFormat="false" ht="37.5" hidden="false" customHeight="true" outlineLevel="0" collapsed="false">
      <c r="B1" s="51" t="s">
        <v>128</v>
      </c>
      <c r="C1" s="51"/>
      <c r="D1" s="51"/>
      <c r="E1" s="51"/>
      <c r="F1" s="51"/>
      <c r="G1" s="51"/>
      <c r="H1" s="51"/>
    </row>
    <row r="2" customFormat="false" ht="15.75" hidden="false" customHeight="true" outlineLevel="0" collapsed="false">
      <c r="B2" s="52" t="s">
        <v>129</v>
      </c>
      <c r="C2" s="52"/>
      <c r="D2" s="52"/>
      <c r="E2" s="52"/>
      <c r="F2" s="52"/>
      <c r="G2" s="52"/>
      <c r="H2" s="52"/>
    </row>
    <row r="3" customFormat="false" ht="7.5" hidden="false" customHeight="true" outlineLevel="0" collapsed="false"/>
    <row r="4" customFormat="false" ht="36" hidden="false" customHeight="true" outlineLevel="0" collapsed="false">
      <c r="B4" s="20" t="s">
        <v>130</v>
      </c>
      <c r="C4" s="20" t="s">
        <v>131</v>
      </c>
      <c r="D4" s="75" t="s">
        <v>132</v>
      </c>
      <c r="E4" s="76" t="s">
        <v>133</v>
      </c>
      <c r="F4" s="77" t="s">
        <v>134</v>
      </c>
      <c r="G4" s="78" t="s">
        <v>135</v>
      </c>
      <c r="H4" s="20" t="s">
        <v>136</v>
      </c>
    </row>
    <row r="5" customFormat="false" ht="19.5" hidden="false" customHeight="true" outlineLevel="0" collapsed="false">
      <c r="B5" s="79" t="s">
        <v>137</v>
      </c>
      <c r="C5" s="79" t="s">
        <v>5</v>
      </c>
      <c r="D5" s="80" t="n">
        <v>3200</v>
      </c>
      <c r="E5" s="80" t="n">
        <v>3200</v>
      </c>
      <c r="F5" s="80" t="n">
        <v>3200</v>
      </c>
      <c r="G5" s="80" t="n">
        <v>3200</v>
      </c>
      <c r="H5" s="80" t="n">
        <v>0</v>
      </c>
    </row>
    <row r="6" customFormat="false" ht="19.5" hidden="false" customHeight="true" outlineLevel="0" collapsed="false">
      <c r="B6" s="35" t="n">
        <v>1</v>
      </c>
      <c r="C6" s="35" t="n">
        <v>58</v>
      </c>
      <c r="D6" s="81" t="n">
        <f aca="false">D5*(1+'Assumptions &amp; Portfolio'!$C$16)^12+'Assumptions &amp; Portfolio'!$C$7*((1+'Assumptions &amp; Portfolio'!$C$16)^12-1)/'Assumptions &amp; Portfolio'!$C$16</f>
        <v>3.61043748642713E+045</v>
      </c>
      <c r="E6" s="81" t="n">
        <f aca="false">E5*(1+'Assumptions &amp; Portfolio'!$C$17)^12+'Assumptions &amp; Portfolio'!$C$7*((1+'Assumptions &amp; Portfolio'!$C$17)^12-1)/'Assumptions &amp; Portfolio'!$C$17</f>
        <v>8275.26026986791</v>
      </c>
      <c r="F6" s="81" t="n">
        <f aca="false">F5*(1+'Assumptions &amp; Portfolio'!$C$18)^12+'Assumptions &amp; Portfolio'!$C$7*((1+'Assumptions &amp; Portfolio'!$C$18)^12-1)/'Assumptions &amp; Portfolio'!$C$18</f>
        <v>8561.3090529944</v>
      </c>
      <c r="G6" s="81" t="n">
        <f aca="false">G5*(1+'Assumptions &amp; Portfolio'!$C$19)^12+'Assumptions &amp; Portfolio'!$C$7*((1+'Assumptions &amp; Portfolio'!$C$19)^12-1)/'Assumptions &amp; Portfolio'!$C$19</f>
        <v>8858.55902384953</v>
      </c>
      <c r="H6" s="81" t="n">
        <f aca="false">'Assumptions &amp; Portfolio'!$C$6+1*12*'Assumptions &amp; Portfolio'!$C$7</f>
        <v>8000</v>
      </c>
    </row>
    <row r="7" customFormat="false" ht="19.5" hidden="false" customHeight="true" outlineLevel="0" collapsed="false">
      <c r="B7" s="31" t="n">
        <v>2</v>
      </c>
      <c r="C7" s="31" t="n">
        <v>59</v>
      </c>
      <c r="D7" s="57" t="n">
        <f aca="false">D6*(1+'Assumptions &amp; Portfolio'!$C$16)^12+'Assumptions &amp; Portfolio'!$C$7*((1+'Assumptions &amp; Portfolio'!$C$16)^12-1)/'Assumptions &amp; Portfolio'!$C$16</f>
        <v>4.073677753156E+087</v>
      </c>
      <c r="E7" s="57" t="n">
        <f aca="false">E6*(1+'Assumptions &amp; Portfolio'!$C$17)^12+'Assumptions &amp; Portfolio'!$C$7*((1+'Assumptions &amp; Portfolio'!$C$17)^12-1)/'Assumptions &amp; Portfolio'!$C$17</f>
        <v>13610.180487386</v>
      </c>
      <c r="F7" s="57" t="n">
        <f aca="false">F6*(1+'Assumptions &amp; Portfolio'!$C$18)^12+'Assumptions &amp; Portfolio'!$C$7*((1+'Assumptions &amp; Portfolio'!$C$18)^12-1)/'Assumptions &amp; Portfolio'!$C$18</f>
        <v>14484.0172224286</v>
      </c>
      <c r="G7" s="57" t="n">
        <f aca="false">G6*(1+'Assumptions &amp; Portfolio'!$C$19)^12+'Assumptions &amp; Portfolio'!$C$7*((1+'Assumptions &amp; Portfolio'!$C$19)^12-1)/'Assumptions &amp; Portfolio'!$C$19</f>
        <v>15426.7569745851</v>
      </c>
      <c r="H7" s="57" t="n">
        <f aca="false">'Assumptions &amp; Portfolio'!$C$6+2*12*'Assumptions &amp; Portfolio'!$C$7</f>
        <v>12800</v>
      </c>
    </row>
    <row r="8" customFormat="false" ht="19.5" hidden="false" customHeight="true" outlineLevel="0" collapsed="false">
      <c r="B8" s="35" t="n">
        <v>3</v>
      </c>
      <c r="C8" s="35" t="n">
        <v>60</v>
      </c>
      <c r="D8" s="81" t="n">
        <f aca="false">D7*(1+'Assumptions &amp; Portfolio'!$C$16)^12+'Assumptions &amp; Portfolio'!$C$7*((1+'Assumptions &amp; Portfolio'!$C$16)^12-1)/'Assumptions &amp; Portfolio'!$C$16</f>
        <v>4.59635445813529E+129</v>
      </c>
      <c r="E8" s="81" t="n">
        <f aca="false">E7*(1+'Assumptions &amp; Portfolio'!$C$17)^12+'Assumptions &amp; Portfolio'!$C$7*((1+'Assumptions &amp; Portfolio'!$C$17)^12-1)/'Assumptions &amp; Portfolio'!$C$17</f>
        <v>19218.04534828</v>
      </c>
      <c r="F8" s="81" t="n">
        <f aca="false">F7*(1+'Assumptions &amp; Portfolio'!$C$18)^12+'Assumptions &amp; Portfolio'!$C$7*((1+'Assumptions &amp; Portfolio'!$C$18)^12-1)/'Assumptions &amp; Portfolio'!$C$18</f>
        <v>21026.910331844</v>
      </c>
      <c r="G8" s="81" t="n">
        <f aca="false">G7*(1+'Assumptions &amp; Portfolio'!$C$19)^12+'Assumptions &amp; Portfolio'!$C$7*((1+'Assumptions &amp; Portfolio'!$C$19)^12-1)/'Assumptions &amp; Portfolio'!$C$19</f>
        <v>23050.8224192004</v>
      </c>
      <c r="H8" s="81" t="n">
        <f aca="false">'Assumptions &amp; Portfolio'!$C$6+3*12*'Assumptions &amp; Portfolio'!$C$7</f>
        <v>17600</v>
      </c>
    </row>
    <row r="9" customFormat="false" ht="19.5" hidden="false" customHeight="true" outlineLevel="0" collapsed="false">
      <c r="B9" s="31" t="n">
        <v>4</v>
      </c>
      <c r="C9" s="31" t="n">
        <v>61</v>
      </c>
      <c r="D9" s="57" t="n">
        <f aca="false">D8*(1+'Assumptions &amp; Portfolio'!$C$16)^12+'Assumptions &amp; Portfolio'!$C$7*((1+'Assumptions &amp; Portfolio'!$C$16)^12-1)/'Assumptions &amp; Portfolio'!$C$16</f>
        <v>5.18609364436175E+171</v>
      </c>
      <c r="E9" s="57" t="n">
        <f aca="false">E8*(1+'Assumptions &amp; Portfolio'!$C$17)^12+'Assumptions &amp; Portfolio'!$C$7*((1+'Assumptions &amp; Portfolio'!$C$17)^12-1)/'Assumptions &amp; Portfolio'!$C$17</f>
        <v>25112.8192185216</v>
      </c>
      <c r="F9" s="57" t="n">
        <f aca="false">F8*(1+'Assumptions &amp; Portfolio'!$C$18)^12+'Assumptions &amp; Portfolio'!$C$7*((1+'Assumptions &amp; Portfolio'!$C$18)^12-1)/'Assumptions &amp; Portfolio'!$C$18</f>
        <v>28254.9298486867</v>
      </c>
      <c r="G9" s="57" t="n">
        <f aca="false">G8*(1+'Assumptions &amp; Portfolio'!$C$19)^12+'Assumptions &amp; Portfolio'!$C$7*((1+'Assumptions &amp; Portfolio'!$C$19)^12-1)/'Assumptions &amp; Portfolio'!$C$19</f>
        <v>31900.4908274534</v>
      </c>
      <c r="H9" s="57" t="n">
        <f aca="false">'Assumptions &amp; Portfolio'!$C$6+4*12*'Assumptions &amp; Portfolio'!$C$7</f>
        <v>22400</v>
      </c>
    </row>
    <row r="10" customFormat="false" ht="19.5" hidden="false" customHeight="true" outlineLevel="0" collapsed="false">
      <c r="B10" s="35" t="n">
        <v>5</v>
      </c>
      <c r="C10" s="35" t="n">
        <v>62</v>
      </c>
      <c r="D10" s="81" t="n">
        <f aca="false">D9*(1+'Assumptions &amp; Portfolio'!$C$16)^12+'Assumptions &amp; Portfolio'!$C$7*((1+'Assumptions &amp; Portfolio'!$C$16)^12-1)/'Assumptions &amp; Portfolio'!$C$16</f>
        <v>5.85149982079508E+213</v>
      </c>
      <c r="E10" s="81" t="n">
        <f aca="false">E9*(1+'Assumptions &amp; Portfolio'!$C$17)^12+'Assumptions &amp; Portfolio'!$C$7*((1+'Assumptions &amp; Portfolio'!$C$17)^12-1)/'Assumptions &amp; Portfolio'!$C$17</f>
        <v>31309.1809075484</v>
      </c>
      <c r="F10" s="81" t="n">
        <f aca="false">F9*(1+'Assumptions &amp; Portfolio'!$C$18)^12+'Assumptions &amp; Portfolio'!$C$7*((1+'Assumptions &amp; Portfolio'!$C$18)^12-1)/'Assumptions &amp; Portfolio'!$C$18</f>
        <v>36239.8174606636</v>
      </c>
      <c r="G10" s="81" t="n">
        <f aca="false">G9*(1+'Assumptions &amp; Portfolio'!$C$19)^12+'Assumptions &amp; Portfolio'!$C$7*((1+'Assumptions &amp; Portfolio'!$C$19)^12-1)/'Assumptions &amp; Portfolio'!$C$19</f>
        <v>42172.7834126835</v>
      </c>
      <c r="H10" s="81" t="n">
        <f aca="false">'Assumptions &amp; Portfolio'!$C$6+5*12*'Assumptions &amp; Portfolio'!$C$7</f>
        <v>27200</v>
      </c>
    </row>
    <row r="11" customFormat="false" ht="7.5" hidden="false" customHeight="true" outlineLevel="0" collapsed="false"/>
    <row r="12" customFormat="false" ht="19.5" hidden="false" customHeight="true" outlineLevel="0" collapsed="false">
      <c r="B12" s="82" t="s">
        <v>138</v>
      </c>
      <c r="C12" s="82"/>
      <c r="D12" s="83" t="n">
        <f aca="false">D10-H10</f>
        <v>5.85149982079508E+213</v>
      </c>
      <c r="E12" s="83" t="n">
        <f aca="false">E10-H10</f>
        <v>4109.18090754835</v>
      </c>
      <c r="F12" s="83" t="n">
        <f aca="false">F10-H10</f>
        <v>9039.81746066356</v>
      </c>
      <c r="G12" s="83" t="n">
        <f aca="false">G10-H10</f>
        <v>14972.7834126835</v>
      </c>
      <c r="H12" s="84"/>
    </row>
    <row r="13" customFormat="false" ht="19.5" hidden="false" customHeight="true" outlineLevel="0" collapsed="false">
      <c r="B13" s="82" t="s">
        <v>139</v>
      </c>
      <c r="C13" s="82"/>
      <c r="D13" s="85" t="n">
        <f aca="false">D12/H10</f>
        <v>2.15128669882172E+209</v>
      </c>
      <c r="E13" s="85" t="n">
        <f aca="false">E12/H10</f>
        <v>0.151072827483395</v>
      </c>
      <c r="F13" s="85" t="n">
        <f aca="false">F12/H10</f>
        <v>0.332346230171454</v>
      </c>
      <c r="G13" s="85" t="n">
        <f aca="false">G12/H10</f>
        <v>0.550469978407481</v>
      </c>
      <c r="H13" s="84"/>
    </row>
    <row r="14" customFormat="false" ht="7.5" hidden="false" customHeight="true" outlineLevel="0" collapsed="false"/>
    <row r="15" customFormat="false" ht="30" hidden="false" customHeight="true" outlineLevel="0" collapsed="false">
      <c r="B15" s="86" t="s">
        <v>140</v>
      </c>
      <c r="C15" s="86"/>
      <c r="D15" s="86"/>
      <c r="E15" s="86"/>
      <c r="F15" s="86"/>
      <c r="G15" s="86"/>
      <c r="H15" s="86"/>
    </row>
  </sheetData>
  <mergeCells count="5">
    <mergeCell ref="B1:H1"/>
    <mergeCell ref="B2:H2"/>
    <mergeCell ref="B12:C12"/>
    <mergeCell ref="B13:C13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.51"/>
    <col collapsed="false" customWidth="true" hidden="false" outlineLevel="0" max="3" min="2" style="1" width="8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8" min="7" style="1" width="18"/>
    <col collapsed="false" customWidth="true" hidden="false" outlineLevel="0" max="9" min="9" style="1" width="1.51"/>
  </cols>
  <sheetData>
    <row r="1" customFormat="false" ht="37.5" hidden="false" customHeight="true" outlineLevel="0" collapsed="false">
      <c r="B1" s="87" t="s">
        <v>141</v>
      </c>
      <c r="C1" s="87"/>
      <c r="D1" s="87"/>
      <c r="E1" s="87"/>
      <c r="F1" s="87"/>
      <c r="G1" s="87"/>
      <c r="H1" s="87"/>
    </row>
    <row r="2" customFormat="false" ht="15.75" hidden="false" customHeight="true" outlineLevel="0" collapsed="false">
      <c r="B2" s="52" t="s">
        <v>142</v>
      </c>
      <c r="C2" s="52"/>
      <c r="D2" s="52"/>
      <c r="E2" s="52"/>
      <c r="F2" s="52"/>
      <c r="G2" s="52"/>
      <c r="H2" s="52"/>
    </row>
    <row r="3" customFormat="false" ht="7.5" hidden="false" customHeight="true" outlineLevel="0" collapsed="false"/>
    <row r="4" customFormat="false" ht="21.75" hidden="false" customHeight="true" outlineLevel="0" collapsed="false">
      <c r="B4" s="20" t="s">
        <v>143</v>
      </c>
      <c r="C4" s="20" t="s">
        <v>131</v>
      </c>
      <c r="D4" s="20" t="s">
        <v>144</v>
      </c>
      <c r="E4" s="20" t="s">
        <v>145</v>
      </c>
      <c r="F4" s="20" t="s">
        <v>146</v>
      </c>
      <c r="G4" s="20" t="s">
        <v>147</v>
      </c>
      <c r="H4" s="20" t="s">
        <v>148</v>
      </c>
    </row>
    <row r="5" customFormat="false" ht="15.75" hidden="false" customHeight="true" outlineLevel="0" collapsed="false">
      <c r="B5" s="88" t="s">
        <v>149</v>
      </c>
      <c r="C5" s="88" t="s">
        <v>5</v>
      </c>
      <c r="D5" s="80" t="n">
        <v>3200</v>
      </c>
      <c r="E5" s="89" t="n">
        <v>0</v>
      </c>
      <c r="F5" s="89" t="n">
        <v>0</v>
      </c>
      <c r="G5" s="80" t="n">
        <v>3200</v>
      </c>
      <c r="H5" s="89" t="n">
        <v>0</v>
      </c>
    </row>
    <row r="6" customFormat="false" ht="15.75" hidden="false" customHeight="true" outlineLevel="0" collapsed="false">
      <c r="B6" s="35" t="n">
        <v>1</v>
      </c>
      <c r="C6" s="35"/>
      <c r="D6" s="90" t="n">
        <f aca="false">G5</f>
        <v>3200</v>
      </c>
      <c r="E6" s="90" t="n">
        <f aca="false">'Assumptions &amp; Portfolio'!$C$7</f>
        <v>400</v>
      </c>
      <c r="F6" s="81" t="n">
        <f aca="false">(D6+E6)*'Assumptions &amp; Portfolio'!$C$18</f>
        <v>30</v>
      </c>
      <c r="G6" s="81" t="n">
        <f aca="false">D6+E6+F6</f>
        <v>3630</v>
      </c>
      <c r="H6" s="81" t="n">
        <f aca="false">'Assumptions &amp; Portfolio'!$C$6+1*'Assumptions &amp; Portfolio'!$C$7</f>
        <v>3600</v>
      </c>
    </row>
    <row r="7" customFormat="false" ht="15.75" hidden="false" customHeight="true" outlineLevel="0" collapsed="false">
      <c r="B7" s="31" t="n">
        <v>2</v>
      </c>
      <c r="C7" s="31"/>
      <c r="D7" s="91" t="n">
        <f aca="false">G6</f>
        <v>3630</v>
      </c>
      <c r="E7" s="91" t="n">
        <f aca="false">'Assumptions &amp; Portfolio'!$C$7</f>
        <v>400</v>
      </c>
      <c r="F7" s="57" t="n">
        <f aca="false">(D7+E7)*'Assumptions &amp; Portfolio'!$C$18</f>
        <v>33.5833333333333</v>
      </c>
      <c r="G7" s="57" t="n">
        <f aca="false">D7+E7+F7</f>
        <v>4063.58333333333</v>
      </c>
      <c r="H7" s="57" t="n">
        <f aca="false">'Assumptions &amp; Portfolio'!$C$6+2*'Assumptions &amp; Portfolio'!$C$7</f>
        <v>4000</v>
      </c>
    </row>
    <row r="8" customFormat="false" ht="15.75" hidden="false" customHeight="true" outlineLevel="0" collapsed="false">
      <c r="B8" s="35" t="n">
        <v>3</v>
      </c>
      <c r="C8" s="35"/>
      <c r="D8" s="90" t="n">
        <f aca="false">G7</f>
        <v>4063.58333333333</v>
      </c>
      <c r="E8" s="90" t="n">
        <f aca="false">'Assumptions &amp; Portfolio'!$C$7</f>
        <v>400</v>
      </c>
      <c r="F8" s="81" t="n">
        <f aca="false">(D8+E8)*'Assumptions &amp; Portfolio'!$C$18</f>
        <v>37.1965277777778</v>
      </c>
      <c r="G8" s="81" t="n">
        <f aca="false">D8+E8+F8</f>
        <v>4500.77986111111</v>
      </c>
      <c r="H8" s="81" t="n">
        <f aca="false">'Assumptions &amp; Portfolio'!$C$6+3*'Assumptions &amp; Portfolio'!$C$7</f>
        <v>4400</v>
      </c>
    </row>
    <row r="9" customFormat="false" ht="15.75" hidden="false" customHeight="true" outlineLevel="0" collapsed="false">
      <c r="B9" s="31" t="n">
        <v>4</v>
      </c>
      <c r="C9" s="31"/>
      <c r="D9" s="91" t="n">
        <f aca="false">G8</f>
        <v>4500.77986111111</v>
      </c>
      <c r="E9" s="91" t="n">
        <f aca="false">'Assumptions &amp; Portfolio'!$C$7</f>
        <v>400</v>
      </c>
      <c r="F9" s="57" t="n">
        <f aca="false">(D9+E9)*'Assumptions &amp; Portfolio'!$C$18</f>
        <v>40.8398321759259</v>
      </c>
      <c r="G9" s="57" t="n">
        <f aca="false">D9+E9+F9</f>
        <v>4941.61969328704</v>
      </c>
      <c r="H9" s="57" t="n">
        <f aca="false">'Assumptions &amp; Portfolio'!$C$6+4*'Assumptions &amp; Portfolio'!$C$7</f>
        <v>4800</v>
      </c>
    </row>
    <row r="10" customFormat="false" ht="15.75" hidden="false" customHeight="true" outlineLevel="0" collapsed="false">
      <c r="B10" s="35" t="n">
        <v>5</v>
      </c>
      <c r="C10" s="35"/>
      <c r="D10" s="90" t="n">
        <f aca="false">G9</f>
        <v>4941.61969328704</v>
      </c>
      <c r="E10" s="90" t="n">
        <f aca="false">'Assumptions &amp; Portfolio'!$C$7</f>
        <v>400</v>
      </c>
      <c r="F10" s="81" t="n">
        <f aca="false">(D10+E10)*'Assumptions &amp; Portfolio'!$C$18</f>
        <v>44.5134974440587</v>
      </c>
      <c r="G10" s="81" t="n">
        <f aca="false">D10+E10+F10</f>
        <v>5386.1331907311</v>
      </c>
      <c r="H10" s="81" t="n">
        <f aca="false">'Assumptions &amp; Portfolio'!$C$6+5*'Assumptions &amp; Portfolio'!$C$7</f>
        <v>5200</v>
      </c>
    </row>
    <row r="11" customFormat="false" ht="15.75" hidden="false" customHeight="true" outlineLevel="0" collapsed="false">
      <c r="B11" s="31" t="n">
        <v>6</v>
      </c>
      <c r="C11" s="31"/>
      <c r="D11" s="91" t="n">
        <f aca="false">G10</f>
        <v>5386.1331907311</v>
      </c>
      <c r="E11" s="91" t="n">
        <f aca="false">'Assumptions &amp; Portfolio'!$C$7</f>
        <v>400</v>
      </c>
      <c r="F11" s="57" t="n">
        <f aca="false">(D11+E11)*'Assumptions &amp; Portfolio'!$C$18</f>
        <v>48.2177765894258</v>
      </c>
      <c r="G11" s="57" t="n">
        <f aca="false">D11+E11+F11</f>
        <v>5834.35096732052</v>
      </c>
      <c r="H11" s="57" t="n">
        <f aca="false">'Assumptions &amp; Portfolio'!$C$6+6*'Assumptions &amp; Portfolio'!$C$7</f>
        <v>5600</v>
      </c>
    </row>
    <row r="12" customFormat="false" ht="15.75" hidden="false" customHeight="true" outlineLevel="0" collapsed="false">
      <c r="B12" s="35" t="n">
        <v>7</v>
      </c>
      <c r="C12" s="35"/>
      <c r="D12" s="90" t="n">
        <f aca="false">G11</f>
        <v>5834.35096732052</v>
      </c>
      <c r="E12" s="90" t="n">
        <f aca="false">'Assumptions &amp; Portfolio'!$C$7</f>
        <v>400</v>
      </c>
      <c r="F12" s="81" t="n">
        <f aca="false">(D12+E12)*'Assumptions &amp; Portfolio'!$C$18</f>
        <v>51.952924727671</v>
      </c>
      <c r="G12" s="81" t="n">
        <f aca="false">D12+E12+F12</f>
        <v>6286.30389204819</v>
      </c>
      <c r="H12" s="81" t="n">
        <f aca="false">'Assumptions &amp; Portfolio'!$C$6+7*'Assumptions &amp; Portfolio'!$C$7</f>
        <v>6000</v>
      </c>
    </row>
    <row r="13" customFormat="false" ht="15.75" hidden="false" customHeight="true" outlineLevel="0" collapsed="false">
      <c r="B13" s="31" t="n">
        <v>8</v>
      </c>
      <c r="C13" s="31"/>
      <c r="D13" s="91" t="n">
        <f aca="false">G12</f>
        <v>6286.30389204819</v>
      </c>
      <c r="E13" s="91" t="n">
        <f aca="false">'Assumptions &amp; Portfolio'!$C$7</f>
        <v>400</v>
      </c>
      <c r="F13" s="57" t="n">
        <f aca="false">(D13+E13)*'Assumptions &amp; Portfolio'!$C$18</f>
        <v>55.7191991004016</v>
      </c>
      <c r="G13" s="57" t="n">
        <f aca="false">D13+E13+F13</f>
        <v>6742.0230911486</v>
      </c>
      <c r="H13" s="57" t="n">
        <f aca="false">'Assumptions &amp; Portfolio'!$C$6+8*'Assumptions &amp; Portfolio'!$C$7</f>
        <v>6400</v>
      </c>
    </row>
    <row r="14" customFormat="false" ht="15.75" hidden="false" customHeight="true" outlineLevel="0" collapsed="false">
      <c r="B14" s="35" t="n">
        <v>9</v>
      </c>
      <c r="C14" s="35"/>
      <c r="D14" s="90" t="n">
        <f aca="false">G13</f>
        <v>6742.0230911486</v>
      </c>
      <c r="E14" s="90" t="n">
        <f aca="false">'Assumptions &amp; Portfolio'!$C$7</f>
        <v>400</v>
      </c>
      <c r="F14" s="81" t="n">
        <f aca="false">(D14+E14)*'Assumptions &amp; Portfolio'!$C$18</f>
        <v>59.516859092905</v>
      </c>
      <c r="G14" s="81" t="n">
        <f aca="false">D14+E14+F14</f>
        <v>7201.5399502415</v>
      </c>
      <c r="H14" s="81" t="n">
        <f aca="false">'Assumptions &amp; Portfolio'!$C$6+9*'Assumptions &amp; Portfolio'!$C$7</f>
        <v>6800</v>
      </c>
    </row>
    <row r="15" customFormat="false" ht="15.75" hidden="false" customHeight="true" outlineLevel="0" collapsed="false">
      <c r="B15" s="31" t="n">
        <v>10</v>
      </c>
      <c r="C15" s="31"/>
      <c r="D15" s="91" t="n">
        <f aca="false">G14</f>
        <v>7201.5399502415</v>
      </c>
      <c r="E15" s="91" t="n">
        <f aca="false">'Assumptions &amp; Portfolio'!$C$7</f>
        <v>400</v>
      </c>
      <c r="F15" s="57" t="n">
        <f aca="false">(D15+E15)*'Assumptions &amp; Portfolio'!$C$18</f>
        <v>63.3461662520125</v>
      </c>
      <c r="G15" s="57" t="n">
        <f aca="false">D15+E15+F15</f>
        <v>7664.88611649351</v>
      </c>
      <c r="H15" s="57" t="n">
        <f aca="false">'Assumptions &amp; Portfolio'!$C$6+10*'Assumptions &amp; Portfolio'!$C$7</f>
        <v>7200</v>
      </c>
    </row>
    <row r="16" customFormat="false" ht="15.75" hidden="false" customHeight="true" outlineLevel="0" collapsed="false">
      <c r="B16" s="35" t="n">
        <v>11</v>
      </c>
      <c r="C16" s="35"/>
      <c r="D16" s="90" t="n">
        <f aca="false">G15</f>
        <v>7664.88611649351</v>
      </c>
      <c r="E16" s="90" t="n">
        <f aca="false">'Assumptions &amp; Portfolio'!$C$7</f>
        <v>400</v>
      </c>
      <c r="F16" s="81" t="n">
        <f aca="false">(D16+E16)*'Assumptions &amp; Portfolio'!$C$18</f>
        <v>67.2073843041126</v>
      </c>
      <c r="G16" s="81" t="n">
        <f aca="false">D16+E16+F16</f>
        <v>8132.09350079763</v>
      </c>
      <c r="H16" s="81" t="n">
        <f aca="false">'Assumptions &amp; Portfolio'!$C$6+11*'Assumptions &amp; Portfolio'!$C$7</f>
        <v>7600</v>
      </c>
    </row>
    <row r="17" customFormat="false" ht="19.5" hidden="false" customHeight="true" outlineLevel="0" collapsed="false">
      <c r="B17" s="92" t="n">
        <v>12</v>
      </c>
      <c r="C17" s="92" t="s">
        <v>150</v>
      </c>
      <c r="D17" s="93" t="n">
        <f aca="false">G16</f>
        <v>8132.09350079763</v>
      </c>
      <c r="E17" s="94" t="n">
        <f aca="false">'Assumptions &amp; Portfolio'!$C$7</f>
        <v>400</v>
      </c>
      <c r="F17" s="95" t="n">
        <f aca="false">(D17+E17)*'Assumptions &amp; Portfolio'!$C$18</f>
        <v>71.1007791733136</v>
      </c>
      <c r="G17" s="95" t="n">
        <f aca="false">D17+E17+F17</f>
        <v>8603.19427997094</v>
      </c>
      <c r="H17" s="96" t="n">
        <f aca="false">'Assumptions &amp; Portfolio'!$C$6+12*'Assumptions &amp; Portfolio'!$C$7</f>
        <v>8000</v>
      </c>
    </row>
    <row r="18" customFormat="false" ht="15.75" hidden="false" customHeight="true" outlineLevel="0" collapsed="false">
      <c r="B18" s="35" t="n">
        <v>13</v>
      </c>
      <c r="C18" s="35"/>
      <c r="D18" s="90" t="n">
        <f aca="false">G17</f>
        <v>8603.19427997094</v>
      </c>
      <c r="E18" s="90" t="n">
        <f aca="false">'Assumptions &amp; Portfolio'!$C$7</f>
        <v>400</v>
      </c>
      <c r="F18" s="81" t="n">
        <f aca="false">(D18+E18)*'Assumptions &amp; Portfolio'!$C$18</f>
        <v>75.0266189997578</v>
      </c>
      <c r="G18" s="81" t="n">
        <f aca="false">D18+E18+F18</f>
        <v>9078.2208989707</v>
      </c>
      <c r="H18" s="81" t="n">
        <f aca="false">'Assumptions &amp; Portfolio'!$C$6+13*'Assumptions &amp; Portfolio'!$C$7</f>
        <v>8400</v>
      </c>
    </row>
    <row r="19" customFormat="false" ht="15.75" hidden="false" customHeight="true" outlineLevel="0" collapsed="false">
      <c r="B19" s="31" t="n">
        <v>14</v>
      </c>
      <c r="C19" s="31"/>
      <c r="D19" s="91" t="n">
        <f aca="false">G18</f>
        <v>9078.2208989707</v>
      </c>
      <c r="E19" s="91" t="n">
        <f aca="false">'Assumptions &amp; Portfolio'!$C$7</f>
        <v>400</v>
      </c>
      <c r="F19" s="57" t="n">
        <f aca="false">(D19+E19)*'Assumptions &amp; Portfolio'!$C$18</f>
        <v>78.9851741580892</v>
      </c>
      <c r="G19" s="57" t="n">
        <f aca="false">D19+E19+F19</f>
        <v>9557.20607312879</v>
      </c>
      <c r="H19" s="57" t="n">
        <f aca="false">'Assumptions &amp; Portfolio'!$C$6+14*'Assumptions &amp; Portfolio'!$C$7</f>
        <v>8800</v>
      </c>
    </row>
    <row r="20" customFormat="false" ht="15.75" hidden="false" customHeight="true" outlineLevel="0" collapsed="false">
      <c r="B20" s="35" t="n">
        <v>15</v>
      </c>
      <c r="C20" s="35"/>
      <c r="D20" s="90" t="n">
        <f aca="false">G19</f>
        <v>9557.20607312879</v>
      </c>
      <c r="E20" s="90" t="n">
        <f aca="false">'Assumptions &amp; Portfolio'!$C$7</f>
        <v>400</v>
      </c>
      <c r="F20" s="81" t="n">
        <f aca="false">(D20+E20)*'Assumptions &amp; Portfolio'!$C$18</f>
        <v>82.9767172760732</v>
      </c>
      <c r="G20" s="81" t="n">
        <f aca="false">D20+E20+F20</f>
        <v>10040.1827904049</v>
      </c>
      <c r="H20" s="81" t="n">
        <f aca="false">'Assumptions &amp; Portfolio'!$C$6+15*'Assumptions &amp; Portfolio'!$C$7</f>
        <v>9200</v>
      </c>
    </row>
    <row r="21" customFormat="false" ht="15.75" hidden="false" customHeight="true" outlineLevel="0" collapsed="false">
      <c r="B21" s="31" t="n">
        <v>16</v>
      </c>
      <c r="C21" s="31"/>
      <c r="D21" s="91" t="n">
        <f aca="false">G20</f>
        <v>10040.1827904049</v>
      </c>
      <c r="E21" s="91" t="n">
        <f aca="false">'Assumptions &amp; Portfolio'!$C$7</f>
        <v>400</v>
      </c>
      <c r="F21" s="57" t="n">
        <f aca="false">(D21+E21)*'Assumptions &amp; Portfolio'!$C$18</f>
        <v>87.0015232533738</v>
      </c>
      <c r="G21" s="57" t="n">
        <f aca="false">D21+E21+F21</f>
        <v>10527.1843136582</v>
      </c>
      <c r="H21" s="57" t="n">
        <f aca="false">'Assumptions &amp; Portfolio'!$C$6+16*'Assumptions &amp; Portfolio'!$C$7</f>
        <v>9600</v>
      </c>
    </row>
    <row r="22" customFormat="false" ht="15.75" hidden="false" customHeight="true" outlineLevel="0" collapsed="false">
      <c r="B22" s="35" t="n">
        <v>17</v>
      </c>
      <c r="C22" s="35"/>
      <c r="D22" s="90" t="n">
        <f aca="false">G21</f>
        <v>10527.1843136582</v>
      </c>
      <c r="E22" s="90" t="n">
        <f aca="false">'Assumptions &amp; Portfolio'!$C$7</f>
        <v>400</v>
      </c>
      <c r="F22" s="81" t="n">
        <f aca="false">(D22+E22)*'Assumptions &amp; Portfolio'!$C$18</f>
        <v>91.0598692804853</v>
      </c>
      <c r="G22" s="81" t="n">
        <f aca="false">D22+E22+F22</f>
        <v>11018.2441829387</v>
      </c>
      <c r="H22" s="81" t="n">
        <f aca="false">'Assumptions &amp; Portfolio'!$C$6+17*'Assumptions &amp; Portfolio'!$C$7</f>
        <v>10000</v>
      </c>
    </row>
    <row r="23" customFormat="false" ht="15.75" hidden="false" customHeight="true" outlineLevel="0" collapsed="false">
      <c r="B23" s="31" t="n">
        <v>18</v>
      </c>
      <c r="C23" s="31"/>
      <c r="D23" s="91" t="n">
        <f aca="false">G22</f>
        <v>11018.2441829387</v>
      </c>
      <c r="E23" s="91" t="n">
        <f aca="false">'Assumptions &amp; Portfolio'!$C$7</f>
        <v>400</v>
      </c>
      <c r="F23" s="57" t="n">
        <f aca="false">(D23+E23)*'Assumptions &amp; Portfolio'!$C$18</f>
        <v>95.1520348578227</v>
      </c>
      <c r="G23" s="57" t="n">
        <f aca="false">D23+E23+F23</f>
        <v>11513.3962177965</v>
      </c>
      <c r="H23" s="57" t="n">
        <f aca="false">'Assumptions &amp; Portfolio'!$C$6+18*'Assumptions &amp; Portfolio'!$C$7</f>
        <v>10400</v>
      </c>
    </row>
    <row r="24" customFormat="false" ht="15.75" hidden="false" customHeight="true" outlineLevel="0" collapsed="false">
      <c r="B24" s="35" t="n">
        <v>19</v>
      </c>
      <c r="C24" s="35"/>
      <c r="D24" s="90" t="n">
        <f aca="false">G23</f>
        <v>11513.3962177965</v>
      </c>
      <c r="E24" s="90" t="n">
        <f aca="false">'Assumptions &amp; Portfolio'!$C$7</f>
        <v>400</v>
      </c>
      <c r="F24" s="81" t="n">
        <f aca="false">(D24+E24)*'Assumptions &amp; Portfolio'!$C$18</f>
        <v>99.2783018149712</v>
      </c>
      <c r="G24" s="81" t="n">
        <f aca="false">D24+E24+F24</f>
        <v>12012.6745196115</v>
      </c>
      <c r="H24" s="81" t="n">
        <f aca="false">'Assumptions &amp; Portfolio'!$C$6+19*'Assumptions &amp; Portfolio'!$C$7</f>
        <v>10800</v>
      </c>
    </row>
    <row r="25" customFormat="false" ht="15.75" hidden="false" customHeight="true" outlineLevel="0" collapsed="false">
      <c r="B25" s="31" t="n">
        <v>20</v>
      </c>
      <c r="C25" s="31"/>
      <c r="D25" s="91" t="n">
        <f aca="false">G24</f>
        <v>12012.6745196115</v>
      </c>
      <c r="E25" s="91" t="n">
        <f aca="false">'Assumptions &amp; Portfolio'!$C$7</f>
        <v>400</v>
      </c>
      <c r="F25" s="57" t="n">
        <f aca="false">(D25+E25)*'Assumptions &amp; Portfolio'!$C$18</f>
        <v>103.438954330096</v>
      </c>
      <c r="G25" s="57" t="n">
        <f aca="false">D25+E25+F25</f>
        <v>12516.1134739416</v>
      </c>
      <c r="H25" s="57" t="n">
        <f aca="false">'Assumptions &amp; Portfolio'!$C$6+20*'Assumptions &amp; Portfolio'!$C$7</f>
        <v>11200</v>
      </c>
    </row>
    <row r="26" customFormat="false" ht="15.75" hidden="false" customHeight="true" outlineLevel="0" collapsed="false">
      <c r="B26" s="35" t="n">
        <v>21</v>
      </c>
      <c r="C26" s="35"/>
      <c r="D26" s="90" t="n">
        <f aca="false">G25</f>
        <v>12516.1134739416</v>
      </c>
      <c r="E26" s="90" t="n">
        <f aca="false">'Assumptions &amp; Portfolio'!$C$7</f>
        <v>400</v>
      </c>
      <c r="F26" s="81" t="n">
        <f aca="false">(D26+E26)*'Assumptions &amp; Portfolio'!$C$18</f>
        <v>107.634278949513</v>
      </c>
      <c r="G26" s="81" t="n">
        <f aca="false">D26+E26+F26</f>
        <v>13023.7477528911</v>
      </c>
      <c r="H26" s="81" t="n">
        <f aca="false">'Assumptions &amp; Portfolio'!$C$6+21*'Assumptions &amp; Portfolio'!$C$7</f>
        <v>11600</v>
      </c>
    </row>
    <row r="27" customFormat="false" ht="15.75" hidden="false" customHeight="true" outlineLevel="0" collapsed="false">
      <c r="B27" s="31" t="n">
        <v>22</v>
      </c>
      <c r="C27" s="31"/>
      <c r="D27" s="91" t="n">
        <f aca="false">G26</f>
        <v>13023.7477528911</v>
      </c>
      <c r="E27" s="91" t="n">
        <f aca="false">'Assumptions &amp; Portfolio'!$C$7</f>
        <v>400</v>
      </c>
      <c r="F27" s="57" t="n">
        <f aca="false">(D27+E27)*'Assumptions &amp; Portfolio'!$C$18</f>
        <v>111.864564607426</v>
      </c>
      <c r="G27" s="57" t="n">
        <f aca="false">D27+E27+F27</f>
        <v>13535.6123174986</v>
      </c>
      <c r="H27" s="57" t="n">
        <f aca="false">'Assumptions &amp; Portfolio'!$C$6+22*'Assumptions &amp; Portfolio'!$C$7</f>
        <v>12000</v>
      </c>
    </row>
    <row r="28" customFormat="false" ht="15.75" hidden="false" customHeight="true" outlineLevel="0" collapsed="false">
      <c r="B28" s="35" t="n">
        <v>23</v>
      </c>
      <c r="C28" s="35"/>
      <c r="D28" s="90" t="n">
        <f aca="false">G27</f>
        <v>13535.6123174986</v>
      </c>
      <c r="E28" s="90" t="n">
        <f aca="false">'Assumptions &amp; Portfolio'!$C$7</f>
        <v>400</v>
      </c>
      <c r="F28" s="81" t="n">
        <f aca="false">(D28+E28)*'Assumptions &amp; Portfolio'!$C$18</f>
        <v>116.130102645821</v>
      </c>
      <c r="G28" s="81" t="n">
        <f aca="false">D28+E28+F28</f>
        <v>14051.7424201444</v>
      </c>
      <c r="H28" s="81" t="n">
        <f aca="false">'Assumptions &amp; Portfolio'!$C$6+23*'Assumptions &amp; Portfolio'!$C$7</f>
        <v>12400</v>
      </c>
    </row>
    <row r="29" customFormat="false" ht="19.5" hidden="false" customHeight="true" outlineLevel="0" collapsed="false">
      <c r="B29" s="92" t="n">
        <v>24</v>
      </c>
      <c r="C29" s="92" t="s">
        <v>151</v>
      </c>
      <c r="D29" s="93" t="n">
        <f aca="false">G28</f>
        <v>14051.7424201444</v>
      </c>
      <c r="E29" s="94" t="n">
        <f aca="false">'Assumptions &amp; Portfolio'!$C$7</f>
        <v>400</v>
      </c>
      <c r="F29" s="95" t="n">
        <f aca="false">(D29+E29)*'Assumptions &amp; Portfolio'!$C$18</f>
        <v>120.431186834536</v>
      </c>
      <c r="G29" s="95" t="n">
        <f aca="false">D29+E29+F29</f>
        <v>14572.1736069789</v>
      </c>
      <c r="H29" s="96" t="n">
        <f aca="false">'Assumptions &amp; Portfolio'!$C$6+24*'Assumptions &amp; Portfolio'!$C$7</f>
        <v>12800</v>
      </c>
    </row>
    <row r="30" customFormat="false" ht="15.75" hidden="false" customHeight="true" outlineLevel="0" collapsed="false">
      <c r="B30" s="35" t="n">
        <v>25</v>
      </c>
      <c r="C30" s="35"/>
      <c r="D30" s="90" t="n">
        <f aca="false">G29</f>
        <v>14572.1736069789</v>
      </c>
      <c r="E30" s="90" t="n">
        <f aca="false">'Assumptions &amp; Portfolio'!$C$7</f>
        <v>400</v>
      </c>
      <c r="F30" s="81" t="n">
        <f aca="false">(D30+E30)*'Assumptions &amp; Portfolio'!$C$18</f>
        <v>124.768113391491</v>
      </c>
      <c r="G30" s="81" t="n">
        <f aca="false">D30+E30+F30</f>
        <v>15096.9417203704</v>
      </c>
      <c r="H30" s="81" t="n">
        <f aca="false">'Assumptions &amp; Portfolio'!$C$6+25*'Assumptions &amp; Portfolio'!$C$7</f>
        <v>13200</v>
      </c>
    </row>
    <row r="31" customFormat="false" ht="15.75" hidden="false" customHeight="true" outlineLevel="0" collapsed="false">
      <c r="B31" s="31" t="n">
        <v>26</v>
      </c>
      <c r="C31" s="31"/>
      <c r="D31" s="91" t="n">
        <f aca="false">G30</f>
        <v>15096.9417203704</v>
      </c>
      <c r="E31" s="91" t="n">
        <f aca="false">'Assumptions &amp; Portfolio'!$C$7</f>
        <v>400</v>
      </c>
      <c r="F31" s="57" t="n">
        <f aca="false">(D31+E31)*'Assumptions &amp; Portfolio'!$C$18</f>
        <v>129.141181003087</v>
      </c>
      <c r="G31" s="57" t="n">
        <f aca="false">D31+E31+F31</f>
        <v>15626.0829013735</v>
      </c>
      <c r="H31" s="57" t="n">
        <f aca="false">'Assumptions &amp; Portfolio'!$C$6+26*'Assumptions &amp; Portfolio'!$C$7</f>
        <v>13600</v>
      </c>
    </row>
    <row r="32" customFormat="false" ht="15.75" hidden="false" customHeight="true" outlineLevel="0" collapsed="false">
      <c r="B32" s="35" t="n">
        <v>27</v>
      </c>
      <c r="C32" s="35"/>
      <c r="D32" s="90" t="n">
        <f aca="false">G31</f>
        <v>15626.0829013735</v>
      </c>
      <c r="E32" s="90" t="n">
        <f aca="false">'Assumptions &amp; Portfolio'!$C$7</f>
        <v>400</v>
      </c>
      <c r="F32" s="81" t="n">
        <f aca="false">(D32+E32)*'Assumptions &amp; Portfolio'!$C$18</f>
        <v>133.550690844779</v>
      </c>
      <c r="G32" s="81" t="n">
        <f aca="false">D32+E32+F32</f>
        <v>16159.6335922183</v>
      </c>
      <c r="H32" s="81" t="n">
        <f aca="false">'Assumptions &amp; Portfolio'!$C$6+27*'Assumptions &amp; Portfolio'!$C$7</f>
        <v>14000</v>
      </c>
    </row>
    <row r="33" customFormat="false" ht="15.75" hidden="false" customHeight="true" outlineLevel="0" collapsed="false">
      <c r="B33" s="31" t="n">
        <v>28</v>
      </c>
      <c r="C33" s="31"/>
      <c r="D33" s="91" t="n">
        <f aca="false">G32</f>
        <v>16159.6335922183</v>
      </c>
      <c r="E33" s="91" t="n">
        <f aca="false">'Assumptions &amp; Portfolio'!$C$7</f>
        <v>400</v>
      </c>
      <c r="F33" s="57" t="n">
        <f aca="false">(D33+E33)*'Assumptions &amp; Portfolio'!$C$18</f>
        <v>137.996946601819</v>
      </c>
      <c r="G33" s="57" t="n">
        <f aca="false">D33+E33+F33</f>
        <v>16697.6305388201</v>
      </c>
      <c r="H33" s="57" t="n">
        <f aca="false">'Assumptions &amp; Portfolio'!$C$6+28*'Assumptions &amp; Portfolio'!$C$7</f>
        <v>14400</v>
      </c>
    </row>
    <row r="34" customFormat="false" ht="15.75" hidden="false" customHeight="true" outlineLevel="0" collapsed="false">
      <c r="B34" s="35" t="n">
        <v>29</v>
      </c>
      <c r="C34" s="35"/>
      <c r="D34" s="90" t="n">
        <f aca="false">G33</f>
        <v>16697.6305388201</v>
      </c>
      <c r="E34" s="90" t="n">
        <f aca="false">'Assumptions &amp; Portfolio'!$C$7</f>
        <v>400</v>
      </c>
      <c r="F34" s="81" t="n">
        <f aca="false">(D34+E34)*'Assumptions &amp; Portfolio'!$C$18</f>
        <v>142.480254490167</v>
      </c>
      <c r="G34" s="81" t="n">
        <f aca="false">D34+E34+F34</f>
        <v>17240.1107933103</v>
      </c>
      <c r="H34" s="81" t="n">
        <f aca="false">'Assumptions &amp; Portfolio'!$C$6+29*'Assumptions &amp; Portfolio'!$C$7</f>
        <v>14800</v>
      </c>
    </row>
    <row r="35" customFormat="false" ht="15.75" hidden="false" customHeight="true" outlineLevel="0" collapsed="false">
      <c r="B35" s="31" t="n">
        <v>30</v>
      </c>
      <c r="C35" s="31"/>
      <c r="D35" s="91" t="n">
        <f aca="false">G34</f>
        <v>17240.1107933103</v>
      </c>
      <c r="E35" s="91" t="n">
        <f aca="false">'Assumptions &amp; Portfolio'!$C$7</f>
        <v>400</v>
      </c>
      <c r="F35" s="57" t="n">
        <f aca="false">(D35+E35)*'Assumptions &amp; Portfolio'!$C$18</f>
        <v>147.000923277585</v>
      </c>
      <c r="G35" s="57" t="n">
        <f aca="false">D35+E35+F35</f>
        <v>17787.1117165878</v>
      </c>
      <c r="H35" s="57" t="n">
        <f aca="false">'Assumptions &amp; Portfolio'!$C$6+30*'Assumptions &amp; Portfolio'!$C$7</f>
        <v>15200</v>
      </c>
    </row>
    <row r="36" customFormat="false" ht="15.75" hidden="false" customHeight="true" outlineLevel="0" collapsed="false">
      <c r="B36" s="35" t="n">
        <v>31</v>
      </c>
      <c r="C36" s="35"/>
      <c r="D36" s="90" t="n">
        <f aca="false">G35</f>
        <v>17787.1117165878</v>
      </c>
      <c r="E36" s="90" t="n">
        <f aca="false">'Assumptions &amp; Portfolio'!$C$7</f>
        <v>400</v>
      </c>
      <c r="F36" s="81" t="n">
        <f aca="false">(D36+E36)*'Assumptions &amp; Portfolio'!$C$18</f>
        <v>151.559264304899</v>
      </c>
      <c r="G36" s="81" t="n">
        <f aca="false">D36+E36+F36</f>
        <v>18338.6709808927</v>
      </c>
      <c r="H36" s="81" t="n">
        <f aca="false">'Assumptions &amp; Portfolio'!$C$6+31*'Assumptions &amp; Portfolio'!$C$7</f>
        <v>15600</v>
      </c>
    </row>
    <row r="37" customFormat="false" ht="15.75" hidden="false" customHeight="true" outlineLevel="0" collapsed="false">
      <c r="B37" s="31" t="n">
        <v>32</v>
      </c>
      <c r="C37" s="31"/>
      <c r="D37" s="91" t="n">
        <f aca="false">G36</f>
        <v>18338.6709808927</v>
      </c>
      <c r="E37" s="91" t="n">
        <f aca="false">'Assumptions &amp; Portfolio'!$C$7</f>
        <v>400</v>
      </c>
      <c r="F37" s="57" t="n">
        <f aca="false">(D37+E37)*'Assumptions &amp; Portfolio'!$C$18</f>
        <v>156.155591507439</v>
      </c>
      <c r="G37" s="57" t="n">
        <f aca="false">D37+E37+F37</f>
        <v>18894.8265724002</v>
      </c>
      <c r="H37" s="57" t="n">
        <f aca="false">'Assumptions &amp; Portfolio'!$C$6+32*'Assumptions &amp; Portfolio'!$C$7</f>
        <v>16000</v>
      </c>
    </row>
    <row r="38" customFormat="false" ht="15.75" hidden="false" customHeight="true" outlineLevel="0" collapsed="false">
      <c r="B38" s="35" t="n">
        <v>33</v>
      </c>
      <c r="C38" s="35"/>
      <c r="D38" s="90" t="n">
        <f aca="false">G37</f>
        <v>18894.8265724002</v>
      </c>
      <c r="E38" s="90" t="n">
        <f aca="false">'Assumptions &amp; Portfolio'!$C$7</f>
        <v>400</v>
      </c>
      <c r="F38" s="81" t="n">
        <f aca="false">(D38+E38)*'Assumptions &amp; Portfolio'!$C$18</f>
        <v>160.790221436668</v>
      </c>
      <c r="G38" s="81" t="n">
        <f aca="false">D38+E38+F38</f>
        <v>19455.6167938368</v>
      </c>
      <c r="H38" s="81" t="n">
        <f aca="false">'Assumptions &amp; Portfolio'!$C$6+33*'Assumptions &amp; Portfolio'!$C$7</f>
        <v>16400</v>
      </c>
    </row>
    <row r="39" customFormat="false" ht="15.75" hidden="false" customHeight="true" outlineLevel="0" collapsed="false">
      <c r="B39" s="31" t="n">
        <v>34</v>
      </c>
      <c r="C39" s="31"/>
      <c r="D39" s="91" t="n">
        <f aca="false">G38</f>
        <v>19455.6167938368</v>
      </c>
      <c r="E39" s="91" t="n">
        <f aca="false">'Assumptions &amp; Portfolio'!$C$7</f>
        <v>400</v>
      </c>
      <c r="F39" s="57" t="n">
        <f aca="false">(D39+E39)*'Assumptions &amp; Portfolio'!$C$18</f>
        <v>165.463473281974</v>
      </c>
      <c r="G39" s="57" t="n">
        <f aca="false">D39+E39+F39</f>
        <v>20021.0802671188</v>
      </c>
      <c r="H39" s="57" t="n">
        <f aca="false">'Assumptions &amp; Portfolio'!$C$6+34*'Assumptions &amp; Portfolio'!$C$7</f>
        <v>16800</v>
      </c>
    </row>
    <row r="40" customFormat="false" ht="15.75" hidden="false" customHeight="true" outlineLevel="0" collapsed="false">
      <c r="B40" s="35" t="n">
        <v>35</v>
      </c>
      <c r="C40" s="35"/>
      <c r="D40" s="90" t="n">
        <f aca="false">G39</f>
        <v>20021.0802671188</v>
      </c>
      <c r="E40" s="90" t="n">
        <f aca="false">'Assumptions &amp; Portfolio'!$C$7</f>
        <v>400</v>
      </c>
      <c r="F40" s="81" t="n">
        <f aca="false">(D40+E40)*'Assumptions &amp; Portfolio'!$C$18</f>
        <v>170.175668892657</v>
      </c>
      <c r="G40" s="81" t="n">
        <f aca="false">D40+E40+F40</f>
        <v>20591.2559360115</v>
      </c>
      <c r="H40" s="81" t="n">
        <f aca="false">'Assumptions &amp; Portfolio'!$C$6+35*'Assumptions &amp; Portfolio'!$C$7</f>
        <v>17200</v>
      </c>
    </row>
    <row r="41" customFormat="false" ht="19.5" hidden="false" customHeight="true" outlineLevel="0" collapsed="false">
      <c r="B41" s="92" t="n">
        <v>36</v>
      </c>
      <c r="C41" s="92" t="s">
        <v>152</v>
      </c>
      <c r="D41" s="93" t="n">
        <f aca="false">G40</f>
        <v>20591.2559360115</v>
      </c>
      <c r="E41" s="94" t="n">
        <f aca="false">'Assumptions &amp; Portfolio'!$C$7</f>
        <v>400</v>
      </c>
      <c r="F41" s="95" t="n">
        <f aca="false">(D41+E41)*'Assumptions &amp; Portfolio'!$C$18</f>
        <v>174.927132800096</v>
      </c>
      <c r="G41" s="95" t="n">
        <f aca="false">D41+E41+F41</f>
        <v>21166.1830688116</v>
      </c>
      <c r="H41" s="96" t="n">
        <f aca="false">'Assumptions &amp; Portfolio'!$C$6+36*'Assumptions &amp; Portfolio'!$C$7</f>
        <v>17600</v>
      </c>
    </row>
    <row r="42" customFormat="false" ht="15.75" hidden="false" customHeight="true" outlineLevel="0" collapsed="false">
      <c r="B42" s="35" t="n">
        <v>37</v>
      </c>
      <c r="C42" s="35"/>
      <c r="D42" s="90" t="n">
        <f aca="false">G41</f>
        <v>21166.1830688116</v>
      </c>
      <c r="E42" s="90" t="n">
        <f aca="false">'Assumptions &amp; Portfolio'!$C$7</f>
        <v>400</v>
      </c>
      <c r="F42" s="81" t="n">
        <f aca="false">(D42+E42)*'Assumptions &amp; Portfolio'!$C$18</f>
        <v>179.718192240096</v>
      </c>
      <c r="G42" s="81" t="n">
        <f aca="false">D42+E42+F42</f>
        <v>21745.9012610517</v>
      </c>
      <c r="H42" s="81" t="n">
        <f aca="false">'Assumptions &amp; Portfolio'!$C$6+37*'Assumptions &amp; Portfolio'!$C$7</f>
        <v>18000</v>
      </c>
    </row>
    <row r="43" customFormat="false" ht="15.75" hidden="false" customHeight="true" outlineLevel="0" collapsed="false">
      <c r="B43" s="31" t="n">
        <v>38</v>
      </c>
      <c r="C43" s="31"/>
      <c r="D43" s="91" t="n">
        <f aca="false">G42</f>
        <v>21745.9012610517</v>
      </c>
      <c r="E43" s="91" t="n">
        <f aca="false">'Assumptions &amp; Portfolio'!$C$7</f>
        <v>400</v>
      </c>
      <c r="F43" s="57" t="n">
        <f aca="false">(D43+E43)*'Assumptions &amp; Portfolio'!$C$18</f>
        <v>184.549177175431</v>
      </c>
      <c r="G43" s="57" t="n">
        <f aca="false">D43+E43+F43</f>
        <v>22330.4504382271</v>
      </c>
      <c r="H43" s="57" t="n">
        <f aca="false">'Assumptions &amp; Portfolio'!$C$6+38*'Assumptions &amp; Portfolio'!$C$7</f>
        <v>18400</v>
      </c>
    </row>
    <row r="44" customFormat="false" ht="15.75" hidden="false" customHeight="true" outlineLevel="0" collapsed="false">
      <c r="B44" s="35" t="n">
        <v>39</v>
      </c>
      <c r="C44" s="35"/>
      <c r="D44" s="90" t="n">
        <f aca="false">G43</f>
        <v>22330.4504382271</v>
      </c>
      <c r="E44" s="90" t="n">
        <f aca="false">'Assumptions &amp; Portfolio'!$C$7</f>
        <v>400</v>
      </c>
      <c r="F44" s="81" t="n">
        <f aca="false">(D44+E44)*'Assumptions &amp; Portfolio'!$C$18</f>
        <v>189.420420318559</v>
      </c>
      <c r="G44" s="81" t="n">
        <f aca="false">D44+E44+F44</f>
        <v>22919.8708585457</v>
      </c>
      <c r="H44" s="81" t="n">
        <f aca="false">'Assumptions &amp; Portfolio'!$C$6+39*'Assumptions &amp; Portfolio'!$C$7</f>
        <v>18800</v>
      </c>
    </row>
    <row r="45" customFormat="false" ht="15.75" hidden="false" customHeight="true" outlineLevel="0" collapsed="false">
      <c r="B45" s="31" t="n">
        <v>40</v>
      </c>
      <c r="C45" s="31"/>
      <c r="D45" s="91" t="n">
        <f aca="false">G44</f>
        <v>22919.8708585457</v>
      </c>
      <c r="E45" s="91" t="n">
        <f aca="false">'Assumptions &amp; Portfolio'!$C$7</f>
        <v>400</v>
      </c>
      <c r="F45" s="57" t="n">
        <f aca="false">(D45+E45)*'Assumptions &amp; Portfolio'!$C$18</f>
        <v>194.332257154547</v>
      </c>
      <c r="G45" s="57" t="n">
        <f aca="false">D45+E45+F45</f>
        <v>23514.2031157002</v>
      </c>
      <c r="H45" s="57" t="n">
        <f aca="false">'Assumptions &amp; Portfolio'!$C$6+40*'Assumptions &amp; Portfolio'!$C$7</f>
        <v>19200</v>
      </c>
    </row>
    <row r="46" customFormat="false" ht="15.75" hidden="false" customHeight="true" outlineLevel="0" collapsed="false">
      <c r="B46" s="35" t="n">
        <v>41</v>
      </c>
      <c r="C46" s="35"/>
      <c r="D46" s="90" t="n">
        <f aca="false">G45</f>
        <v>23514.2031157002</v>
      </c>
      <c r="E46" s="90" t="n">
        <f aca="false">'Assumptions &amp; Portfolio'!$C$7</f>
        <v>400</v>
      </c>
      <c r="F46" s="81" t="n">
        <f aca="false">(D46+E46)*'Assumptions &amp; Portfolio'!$C$18</f>
        <v>199.285025964168</v>
      </c>
      <c r="G46" s="81" t="n">
        <f aca="false">D46+E46+F46</f>
        <v>24113.4881416644</v>
      </c>
      <c r="H46" s="81" t="n">
        <f aca="false">'Assumptions &amp; Portfolio'!$C$6+41*'Assumptions &amp; Portfolio'!$C$7</f>
        <v>19600</v>
      </c>
    </row>
    <row r="47" customFormat="false" ht="15.75" hidden="false" customHeight="true" outlineLevel="0" collapsed="false">
      <c r="B47" s="31" t="n">
        <v>42</v>
      </c>
      <c r="C47" s="31"/>
      <c r="D47" s="91" t="n">
        <f aca="false">G46</f>
        <v>24113.4881416644</v>
      </c>
      <c r="E47" s="91" t="n">
        <f aca="false">'Assumptions &amp; Portfolio'!$C$7</f>
        <v>400</v>
      </c>
      <c r="F47" s="57" t="n">
        <f aca="false">(D47+E47)*'Assumptions &amp; Portfolio'!$C$18</f>
        <v>204.279067847203</v>
      </c>
      <c r="G47" s="57" t="n">
        <f aca="false">D47+E47+F47</f>
        <v>24717.7672095116</v>
      </c>
      <c r="H47" s="57" t="n">
        <f aca="false">'Assumptions &amp; Portfolio'!$C$6+42*'Assumptions &amp; Portfolio'!$C$7</f>
        <v>20000</v>
      </c>
    </row>
    <row r="48" customFormat="false" ht="15.75" hidden="false" customHeight="true" outlineLevel="0" collapsed="false">
      <c r="B48" s="35" t="n">
        <v>43</v>
      </c>
      <c r="C48" s="35"/>
      <c r="D48" s="90" t="n">
        <f aca="false">G47</f>
        <v>24717.7672095116</v>
      </c>
      <c r="E48" s="90" t="n">
        <f aca="false">'Assumptions &amp; Portfolio'!$C$7</f>
        <v>400</v>
      </c>
      <c r="F48" s="81" t="n">
        <f aca="false">(D48+E48)*'Assumptions &amp; Portfolio'!$C$18</f>
        <v>209.31472674593</v>
      </c>
      <c r="G48" s="81" t="n">
        <f aca="false">D48+E48+F48</f>
        <v>25327.0819362575</v>
      </c>
      <c r="H48" s="81" t="n">
        <f aca="false">'Assumptions &amp; Portfolio'!$C$6+43*'Assumptions &amp; Portfolio'!$C$7</f>
        <v>20400</v>
      </c>
    </row>
    <row r="49" customFormat="false" ht="15.75" hidden="false" customHeight="true" outlineLevel="0" collapsed="false">
      <c r="B49" s="31" t="n">
        <v>44</v>
      </c>
      <c r="C49" s="31"/>
      <c r="D49" s="91" t="n">
        <f aca="false">G48</f>
        <v>25327.0819362575</v>
      </c>
      <c r="E49" s="91" t="n">
        <f aca="false">'Assumptions &amp; Portfolio'!$C$7</f>
        <v>400</v>
      </c>
      <c r="F49" s="57" t="n">
        <f aca="false">(D49+E49)*'Assumptions &amp; Portfolio'!$C$18</f>
        <v>214.392349468812</v>
      </c>
      <c r="G49" s="57" t="n">
        <f aca="false">D49+E49+F49</f>
        <v>25941.4742857263</v>
      </c>
      <c r="H49" s="57" t="n">
        <f aca="false">'Assumptions &amp; Portfolio'!$C$6+44*'Assumptions &amp; Portfolio'!$C$7</f>
        <v>20800</v>
      </c>
    </row>
    <row r="50" customFormat="false" ht="15.75" hidden="false" customHeight="true" outlineLevel="0" collapsed="false">
      <c r="B50" s="35" t="n">
        <v>45</v>
      </c>
      <c r="C50" s="35"/>
      <c r="D50" s="90" t="n">
        <f aca="false">G49</f>
        <v>25941.4742857263</v>
      </c>
      <c r="E50" s="90" t="n">
        <f aca="false">'Assumptions &amp; Portfolio'!$C$7</f>
        <v>400</v>
      </c>
      <c r="F50" s="81" t="n">
        <f aca="false">(D50+E50)*'Assumptions &amp; Portfolio'!$C$18</f>
        <v>219.512285714386</v>
      </c>
      <c r="G50" s="81" t="n">
        <f aca="false">D50+E50+F50</f>
        <v>26560.9865714407</v>
      </c>
      <c r="H50" s="81" t="n">
        <f aca="false">'Assumptions &amp; Portfolio'!$C$6+45*'Assumptions &amp; Portfolio'!$C$7</f>
        <v>21200</v>
      </c>
    </row>
    <row r="51" customFormat="false" ht="15.75" hidden="false" customHeight="true" outlineLevel="0" collapsed="false">
      <c r="B51" s="31" t="n">
        <v>46</v>
      </c>
      <c r="C51" s="31"/>
      <c r="D51" s="91" t="n">
        <f aca="false">G50</f>
        <v>26560.9865714407</v>
      </c>
      <c r="E51" s="91" t="n">
        <f aca="false">'Assumptions &amp; Portfolio'!$C$7</f>
        <v>400</v>
      </c>
      <c r="F51" s="57" t="n">
        <f aca="false">(D51+E51)*'Assumptions &amp; Portfolio'!$C$18</f>
        <v>224.674888095339</v>
      </c>
      <c r="G51" s="57" t="n">
        <f aca="false">D51+E51+F51</f>
        <v>27185.661459536</v>
      </c>
      <c r="H51" s="57" t="n">
        <f aca="false">'Assumptions &amp; Portfolio'!$C$6+46*'Assumptions &amp; Portfolio'!$C$7</f>
        <v>21600</v>
      </c>
    </row>
    <row r="52" customFormat="false" ht="15.75" hidden="false" customHeight="true" outlineLevel="0" collapsed="false">
      <c r="B52" s="35" t="n">
        <v>47</v>
      </c>
      <c r="C52" s="35"/>
      <c r="D52" s="90" t="n">
        <f aca="false">G51</f>
        <v>27185.661459536</v>
      </c>
      <c r="E52" s="90" t="n">
        <f aca="false">'Assumptions &amp; Portfolio'!$C$7</f>
        <v>400</v>
      </c>
      <c r="F52" s="81" t="n">
        <f aca="false">(D52+E52)*'Assumptions &amp; Portfolio'!$C$18</f>
        <v>229.8805121628</v>
      </c>
      <c r="G52" s="81" t="n">
        <f aca="false">D52+E52+F52</f>
        <v>27815.5419716988</v>
      </c>
      <c r="H52" s="81" t="n">
        <f aca="false">'Assumptions &amp; Portfolio'!$C$6+47*'Assumptions &amp; Portfolio'!$C$7</f>
        <v>22000</v>
      </c>
    </row>
    <row r="53" customFormat="false" ht="19.5" hidden="false" customHeight="true" outlineLevel="0" collapsed="false">
      <c r="B53" s="92" t="n">
        <v>48</v>
      </c>
      <c r="C53" s="92" t="s">
        <v>153</v>
      </c>
      <c r="D53" s="93" t="n">
        <f aca="false">G52</f>
        <v>27815.5419716988</v>
      </c>
      <c r="E53" s="94" t="n">
        <f aca="false">'Assumptions &amp; Portfolio'!$C$7</f>
        <v>400</v>
      </c>
      <c r="F53" s="95" t="n">
        <f aca="false">(D53+E53)*'Assumptions &amp; Portfolio'!$C$18</f>
        <v>235.129516430824</v>
      </c>
      <c r="G53" s="95" t="n">
        <f aca="false">D53+E53+F53</f>
        <v>28450.6714881297</v>
      </c>
      <c r="H53" s="96" t="n">
        <f aca="false">'Assumptions &amp; Portfolio'!$C$6+48*'Assumptions &amp; Portfolio'!$C$7</f>
        <v>22400</v>
      </c>
    </row>
    <row r="54" customFormat="false" ht="15.75" hidden="false" customHeight="true" outlineLevel="0" collapsed="false">
      <c r="B54" s="35" t="n">
        <v>49</v>
      </c>
      <c r="C54" s="35"/>
      <c r="D54" s="90" t="n">
        <f aca="false">G53</f>
        <v>28450.6714881297</v>
      </c>
      <c r="E54" s="90" t="n">
        <f aca="false">'Assumptions &amp; Portfolio'!$C$7</f>
        <v>400</v>
      </c>
      <c r="F54" s="81" t="n">
        <f aca="false">(D54+E54)*'Assumptions &amp; Portfolio'!$C$18</f>
        <v>240.422262401081</v>
      </c>
      <c r="G54" s="81" t="n">
        <f aca="false">D54+E54+F54</f>
        <v>29091.0937505307</v>
      </c>
      <c r="H54" s="81" t="n">
        <f aca="false">'Assumptions &amp; Portfolio'!$C$6+49*'Assumptions &amp; Portfolio'!$C$7</f>
        <v>22800</v>
      </c>
    </row>
    <row r="55" customFormat="false" ht="15.75" hidden="false" customHeight="true" outlineLevel="0" collapsed="false">
      <c r="B55" s="31" t="n">
        <v>50</v>
      </c>
      <c r="C55" s="31"/>
      <c r="D55" s="91" t="n">
        <f aca="false">G54</f>
        <v>29091.0937505307</v>
      </c>
      <c r="E55" s="91" t="n">
        <f aca="false">'Assumptions &amp; Portfolio'!$C$7</f>
        <v>400</v>
      </c>
      <c r="F55" s="57" t="n">
        <f aca="false">(D55+E55)*'Assumptions &amp; Portfolio'!$C$18</f>
        <v>245.759114587756</v>
      </c>
      <c r="G55" s="57" t="n">
        <f aca="false">D55+E55+F55</f>
        <v>29736.8528651185</v>
      </c>
      <c r="H55" s="57" t="n">
        <f aca="false">'Assumptions &amp; Portfolio'!$C$6+50*'Assumptions &amp; Portfolio'!$C$7</f>
        <v>23200</v>
      </c>
    </row>
    <row r="56" customFormat="false" ht="15.75" hidden="false" customHeight="true" outlineLevel="0" collapsed="false">
      <c r="B56" s="35" t="n">
        <v>51</v>
      </c>
      <c r="C56" s="35"/>
      <c r="D56" s="90" t="n">
        <f aca="false">G55</f>
        <v>29736.8528651185</v>
      </c>
      <c r="E56" s="90" t="n">
        <f aca="false">'Assumptions &amp; Portfolio'!$C$7</f>
        <v>400</v>
      </c>
      <c r="F56" s="81" t="n">
        <f aca="false">(D56+E56)*'Assumptions &amp; Portfolio'!$C$18</f>
        <v>251.140440542654</v>
      </c>
      <c r="G56" s="81" t="n">
        <f aca="false">D56+E56+F56</f>
        <v>30387.9933056612</v>
      </c>
      <c r="H56" s="81" t="n">
        <f aca="false">'Assumptions &amp; Portfolio'!$C$6+51*'Assumptions &amp; Portfolio'!$C$7</f>
        <v>23600</v>
      </c>
    </row>
    <row r="57" customFormat="false" ht="15.75" hidden="false" customHeight="true" outlineLevel="0" collapsed="false">
      <c r="B57" s="31" t="n">
        <v>52</v>
      </c>
      <c r="C57" s="31"/>
      <c r="D57" s="91" t="n">
        <f aca="false">G56</f>
        <v>30387.9933056612</v>
      </c>
      <c r="E57" s="91" t="n">
        <f aca="false">'Assumptions &amp; Portfolio'!$C$7</f>
        <v>400</v>
      </c>
      <c r="F57" s="57" t="n">
        <f aca="false">(D57+E57)*'Assumptions &amp; Portfolio'!$C$18</f>
        <v>256.56661088051</v>
      </c>
      <c r="G57" s="57" t="n">
        <f aca="false">D57+E57+F57</f>
        <v>31044.5599165417</v>
      </c>
      <c r="H57" s="57" t="n">
        <f aca="false">'Assumptions &amp; Portfolio'!$C$6+52*'Assumptions &amp; Portfolio'!$C$7</f>
        <v>24000</v>
      </c>
    </row>
    <row r="58" customFormat="false" ht="15.75" hidden="false" customHeight="true" outlineLevel="0" collapsed="false">
      <c r="B58" s="35" t="n">
        <v>53</v>
      </c>
      <c r="C58" s="35"/>
      <c r="D58" s="90" t="n">
        <f aca="false">G57</f>
        <v>31044.5599165417</v>
      </c>
      <c r="E58" s="90" t="n">
        <f aca="false">'Assumptions &amp; Portfolio'!$C$7</f>
        <v>400</v>
      </c>
      <c r="F58" s="81" t="n">
        <f aca="false">(D58+E58)*'Assumptions &amp; Portfolio'!$C$18</f>
        <v>262.037999304514</v>
      </c>
      <c r="G58" s="81" t="n">
        <f aca="false">D58+E58+F58</f>
        <v>31706.5979158462</v>
      </c>
      <c r="H58" s="81" t="n">
        <f aca="false">'Assumptions &amp; Portfolio'!$C$6+53*'Assumptions &amp; Portfolio'!$C$7</f>
        <v>24400</v>
      </c>
    </row>
    <row r="59" customFormat="false" ht="15.75" hidden="false" customHeight="true" outlineLevel="0" collapsed="false">
      <c r="B59" s="31" t="n">
        <v>54</v>
      </c>
      <c r="C59" s="31"/>
      <c r="D59" s="91" t="n">
        <f aca="false">G58</f>
        <v>31706.5979158462</v>
      </c>
      <c r="E59" s="91" t="n">
        <f aca="false">'Assumptions &amp; Portfolio'!$C$7</f>
        <v>400</v>
      </c>
      <c r="F59" s="57" t="n">
        <f aca="false">(D59+E59)*'Assumptions &amp; Portfolio'!$C$18</f>
        <v>267.554982632051</v>
      </c>
      <c r="G59" s="57" t="n">
        <f aca="false">D59+E59+F59</f>
        <v>32374.1528984782</v>
      </c>
      <c r="H59" s="57" t="n">
        <f aca="false">'Assumptions &amp; Portfolio'!$C$6+54*'Assumptions &amp; Portfolio'!$C$7</f>
        <v>24800</v>
      </c>
    </row>
    <row r="60" customFormat="false" ht="15.75" hidden="false" customHeight="true" outlineLevel="0" collapsed="false">
      <c r="B60" s="35" t="n">
        <v>55</v>
      </c>
      <c r="C60" s="35"/>
      <c r="D60" s="90" t="n">
        <f aca="false">G59</f>
        <v>32374.1528984782</v>
      </c>
      <c r="E60" s="90" t="n">
        <f aca="false">'Assumptions &amp; Portfolio'!$C$7</f>
        <v>400</v>
      </c>
      <c r="F60" s="81" t="n">
        <f aca="false">(D60+E60)*'Assumptions &amp; Portfolio'!$C$18</f>
        <v>273.117940820652</v>
      </c>
      <c r="G60" s="81" t="n">
        <f aca="false">D60+E60+F60</f>
        <v>33047.2708392989</v>
      </c>
      <c r="H60" s="81" t="n">
        <f aca="false">'Assumptions &amp; Portfolio'!$C$6+55*'Assumptions &amp; Portfolio'!$C$7</f>
        <v>25200</v>
      </c>
    </row>
    <row r="61" customFormat="false" ht="15.75" hidden="false" customHeight="true" outlineLevel="0" collapsed="false">
      <c r="B61" s="31" t="n">
        <v>56</v>
      </c>
      <c r="C61" s="31"/>
      <c r="D61" s="91" t="n">
        <f aca="false">G60</f>
        <v>33047.2708392989</v>
      </c>
      <c r="E61" s="91" t="n">
        <f aca="false">'Assumptions &amp; Portfolio'!$C$7</f>
        <v>400</v>
      </c>
      <c r="F61" s="57" t="n">
        <f aca="false">(D61+E61)*'Assumptions &amp; Portfolio'!$C$18</f>
        <v>278.727256994157</v>
      </c>
      <c r="G61" s="57" t="n">
        <f aca="false">D61+E61+F61</f>
        <v>33725.998096293</v>
      </c>
      <c r="H61" s="57" t="n">
        <f aca="false">'Assumptions &amp; Portfolio'!$C$6+56*'Assumptions &amp; Portfolio'!$C$7</f>
        <v>25600</v>
      </c>
    </row>
    <row r="62" customFormat="false" ht="15.75" hidden="false" customHeight="true" outlineLevel="0" collapsed="false">
      <c r="B62" s="35" t="n">
        <v>57</v>
      </c>
      <c r="C62" s="35"/>
      <c r="D62" s="90" t="n">
        <f aca="false">G61</f>
        <v>33725.998096293</v>
      </c>
      <c r="E62" s="90" t="n">
        <f aca="false">'Assumptions &amp; Portfolio'!$C$7</f>
        <v>400</v>
      </c>
      <c r="F62" s="81" t="n">
        <f aca="false">(D62+E62)*'Assumptions &amp; Portfolio'!$C$18</f>
        <v>284.383317469109</v>
      </c>
      <c r="G62" s="81" t="n">
        <f aca="false">D62+E62+F62</f>
        <v>34410.3814137621</v>
      </c>
      <c r="H62" s="81" t="n">
        <f aca="false">'Assumptions &amp; Portfolio'!$C$6+57*'Assumptions &amp; Portfolio'!$C$7</f>
        <v>26000</v>
      </c>
    </row>
    <row r="63" customFormat="false" ht="15.75" hidden="false" customHeight="true" outlineLevel="0" collapsed="false">
      <c r="B63" s="31" t="n">
        <v>58</v>
      </c>
      <c r="C63" s="31"/>
      <c r="D63" s="91" t="n">
        <f aca="false">G62</f>
        <v>34410.3814137621</v>
      </c>
      <c r="E63" s="91" t="n">
        <f aca="false">'Assumptions &amp; Portfolio'!$C$7</f>
        <v>400</v>
      </c>
      <c r="F63" s="57" t="n">
        <f aca="false">(D63+E63)*'Assumptions &amp; Portfolio'!$C$18</f>
        <v>290.086511781351</v>
      </c>
      <c r="G63" s="57" t="n">
        <f aca="false">D63+E63+F63</f>
        <v>35100.4679255435</v>
      </c>
      <c r="H63" s="57" t="n">
        <f aca="false">'Assumptions &amp; Portfolio'!$C$6+58*'Assumptions &amp; Portfolio'!$C$7</f>
        <v>26400</v>
      </c>
    </row>
    <row r="64" customFormat="false" ht="15.75" hidden="false" customHeight="true" outlineLevel="0" collapsed="false">
      <c r="B64" s="35" t="n">
        <v>59</v>
      </c>
      <c r="C64" s="35"/>
      <c r="D64" s="90" t="n">
        <f aca="false">G63</f>
        <v>35100.4679255435</v>
      </c>
      <c r="E64" s="90" t="n">
        <f aca="false">'Assumptions &amp; Portfolio'!$C$7</f>
        <v>400</v>
      </c>
      <c r="F64" s="81" t="n">
        <f aca="false">(D64+E64)*'Assumptions &amp; Portfolio'!$C$18</f>
        <v>295.837232712863</v>
      </c>
      <c r="G64" s="81" t="n">
        <f aca="false">D64+E64+F64</f>
        <v>35796.3051582564</v>
      </c>
      <c r="H64" s="81" t="n">
        <f aca="false">'Assumptions &amp; Portfolio'!$C$6+59*'Assumptions &amp; Portfolio'!$C$7</f>
        <v>26800</v>
      </c>
    </row>
    <row r="65" customFormat="false" ht="19.5" hidden="false" customHeight="true" outlineLevel="0" collapsed="false">
      <c r="B65" s="92" t="n">
        <v>60</v>
      </c>
      <c r="C65" s="92" t="s">
        <v>7</v>
      </c>
      <c r="D65" s="93" t="n">
        <f aca="false">G64</f>
        <v>35796.3051582564</v>
      </c>
      <c r="E65" s="94" t="n">
        <f aca="false">'Assumptions &amp; Portfolio'!$C$7</f>
        <v>400</v>
      </c>
      <c r="F65" s="95" t="n">
        <f aca="false">(D65+E65)*'Assumptions &amp; Portfolio'!$C$18</f>
        <v>301.635876318803</v>
      </c>
      <c r="G65" s="95" t="n">
        <f aca="false">D65+E65+F65</f>
        <v>36497.9410345752</v>
      </c>
      <c r="H65" s="96" t="n">
        <f aca="false">'Assumptions &amp; Portfolio'!$C$6+60*'Assumptions &amp; Portfolio'!$C$7</f>
        <v>27200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5" min="4" style="1" width="10"/>
    <col collapsed="false" customWidth="true" hidden="false" outlineLevel="0" max="6" min="6" style="1" width="30"/>
    <col collapsed="false" customWidth="true" hidden="false" outlineLevel="0" max="7" min="7" style="1" width="28"/>
    <col collapsed="false" customWidth="true" hidden="false" outlineLevel="0" max="8" min="8" style="1" width="1.51"/>
  </cols>
  <sheetData>
    <row r="1" customFormat="false" ht="37.5" hidden="false" customHeight="true" outlineLevel="0" collapsed="false">
      <c r="B1" s="51" t="s">
        <v>154</v>
      </c>
      <c r="C1" s="51"/>
      <c r="D1" s="51"/>
      <c r="E1" s="51"/>
      <c r="F1" s="51"/>
      <c r="G1" s="51"/>
    </row>
    <row r="2" customFormat="false" ht="18" hidden="false" customHeight="true" outlineLevel="0" collapsed="false">
      <c r="B2" s="4" t="s">
        <v>155</v>
      </c>
      <c r="C2" s="4"/>
      <c r="D2" s="4"/>
      <c r="E2" s="4"/>
      <c r="F2" s="4"/>
      <c r="G2" s="4"/>
    </row>
    <row r="3" customFormat="false" ht="7.5" hidden="false" customHeight="true" outlineLevel="0" collapsed="false"/>
    <row r="4" customFormat="false" ht="21.75" hidden="false" customHeight="true" outlineLevel="0" collapsed="false">
      <c r="B4" s="20" t="s">
        <v>25</v>
      </c>
      <c r="C4" s="20" t="s">
        <v>156</v>
      </c>
      <c r="D4" s="20" t="s">
        <v>28</v>
      </c>
      <c r="E4" s="20" t="s">
        <v>157</v>
      </c>
      <c r="F4" s="20" t="s">
        <v>158</v>
      </c>
      <c r="G4" s="20" t="s">
        <v>159</v>
      </c>
    </row>
    <row r="5" customFormat="false" ht="84.75" hidden="false" customHeight="true" outlineLevel="0" collapsed="false">
      <c r="B5" s="97" t="s">
        <v>31</v>
      </c>
      <c r="C5" s="98" t="s">
        <v>160</v>
      </c>
      <c r="D5" s="99" t="s">
        <v>34</v>
      </c>
      <c r="E5" s="99" t="s">
        <v>33</v>
      </c>
      <c r="F5" s="100" t="s">
        <v>161</v>
      </c>
      <c r="G5" s="101" t="s">
        <v>162</v>
      </c>
      <c r="H5" s="102"/>
    </row>
    <row r="6" customFormat="false" ht="84.75" hidden="false" customHeight="true" outlineLevel="0" collapsed="false">
      <c r="B6" s="103" t="s">
        <v>37</v>
      </c>
      <c r="C6" s="104" t="s">
        <v>163</v>
      </c>
      <c r="D6" s="105" t="s">
        <v>40</v>
      </c>
      <c r="E6" s="105" t="s">
        <v>39</v>
      </c>
      <c r="F6" s="106" t="s">
        <v>164</v>
      </c>
      <c r="G6" s="107" t="s">
        <v>165</v>
      </c>
      <c r="H6" s="102"/>
    </row>
    <row r="7" customFormat="false" ht="84.75" hidden="false" customHeight="true" outlineLevel="0" collapsed="false">
      <c r="B7" s="97" t="s">
        <v>43</v>
      </c>
      <c r="C7" s="98" t="s">
        <v>166</v>
      </c>
      <c r="D7" s="99" t="s">
        <v>46</v>
      </c>
      <c r="E7" s="99" t="s">
        <v>45</v>
      </c>
      <c r="F7" s="100" t="s">
        <v>167</v>
      </c>
      <c r="G7" s="101" t="s">
        <v>168</v>
      </c>
      <c r="H7" s="102"/>
    </row>
    <row r="8" customFormat="false" ht="84.75" hidden="false" customHeight="true" outlineLevel="0" collapsed="false">
      <c r="B8" s="103" t="s">
        <v>49</v>
      </c>
      <c r="C8" s="104" t="s">
        <v>169</v>
      </c>
      <c r="D8" s="105" t="s">
        <v>52</v>
      </c>
      <c r="E8" s="105" t="s">
        <v>51</v>
      </c>
      <c r="F8" s="106" t="s">
        <v>170</v>
      </c>
      <c r="G8" s="107" t="s">
        <v>171</v>
      </c>
      <c r="H8" s="102"/>
    </row>
    <row r="9" customFormat="false" ht="84.75" hidden="false" customHeight="true" outlineLevel="0" collapsed="false">
      <c r="B9" s="97" t="s">
        <v>55</v>
      </c>
      <c r="C9" s="98" t="s">
        <v>172</v>
      </c>
      <c r="D9" s="99" t="s">
        <v>46</v>
      </c>
      <c r="E9" s="99" t="s">
        <v>57</v>
      </c>
      <c r="F9" s="100" t="s">
        <v>173</v>
      </c>
      <c r="G9" s="101" t="s">
        <v>174</v>
      </c>
      <c r="H9" s="102"/>
    </row>
    <row r="10" customFormat="false" ht="7.5" hidden="false" customHeight="true" outlineLevel="0" collapsed="false"/>
    <row r="11" customFormat="false" ht="27.75" hidden="false" customHeight="true" outlineLevel="0" collapsed="false">
      <c r="B11" s="108" t="s">
        <v>175</v>
      </c>
      <c r="C11" s="108"/>
      <c r="D11" s="108"/>
      <c r="E11" s="108"/>
      <c r="F11" s="108"/>
      <c r="G11" s="108"/>
    </row>
  </sheetData>
  <mergeCells count="3">
    <mergeCell ref="B1:G1"/>
    <mergeCell ref="B2:G2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.51"/>
  </cols>
  <sheetData>
    <row r="1" customFormat="false" ht="37.5" hidden="false" customHeight="true" outlineLevel="0" collapsed="false">
      <c r="B1" s="51" t="s">
        <v>176</v>
      </c>
      <c r="C1" s="51"/>
      <c r="D1" s="51"/>
      <c r="E1" s="51"/>
      <c r="F1" s="51"/>
      <c r="G1" s="51"/>
    </row>
    <row r="2" customFormat="false" ht="19.5" hidden="false" customHeight="true" outlineLevel="0" collapsed="false">
      <c r="B2" s="4" t="s">
        <v>177</v>
      </c>
      <c r="C2" s="4"/>
      <c r="D2" s="4"/>
      <c r="E2" s="4"/>
      <c r="F2" s="4"/>
      <c r="G2" s="4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178</v>
      </c>
      <c r="C4" s="3"/>
      <c r="D4" s="3"/>
      <c r="E4" s="3"/>
      <c r="F4" s="3"/>
      <c r="G4" s="3"/>
    </row>
    <row r="5" customFormat="false" ht="19.5" hidden="false" customHeight="true" outlineLevel="0" collapsed="false">
      <c r="B5" s="20" t="s">
        <v>179</v>
      </c>
      <c r="C5" s="20" t="s">
        <v>180</v>
      </c>
      <c r="D5" s="20" t="s">
        <v>181</v>
      </c>
      <c r="E5" s="20" t="s">
        <v>125</v>
      </c>
      <c r="F5" s="20" t="s">
        <v>182</v>
      </c>
      <c r="G5" s="20" t="s">
        <v>183</v>
      </c>
    </row>
    <row r="6" customFormat="false" ht="54.75" hidden="false" customHeight="true" outlineLevel="0" collapsed="false">
      <c r="B6" s="109" t="s">
        <v>184</v>
      </c>
      <c r="C6" s="110" t="s">
        <v>185</v>
      </c>
      <c r="D6" s="111" t="n">
        <v>27</v>
      </c>
      <c r="E6" s="112" t="n">
        <v>0.0074740691323713</v>
      </c>
      <c r="F6" s="113" t="s">
        <v>186</v>
      </c>
      <c r="G6" s="114" t="s">
        <v>187</v>
      </c>
    </row>
    <row r="7" customFormat="false" ht="54.75" hidden="false" customHeight="true" outlineLevel="0" collapsed="false">
      <c r="B7" s="115" t="s">
        <v>188</v>
      </c>
      <c r="C7" s="116" t="s">
        <v>189</v>
      </c>
      <c r="D7" s="117" t="n">
        <v>1236.63</v>
      </c>
      <c r="E7" s="118" t="n">
        <v>0.342320670783864</v>
      </c>
      <c r="F7" s="119" t="s">
        <v>190</v>
      </c>
      <c r="G7" s="120" t="s">
        <v>191</v>
      </c>
    </row>
    <row r="8" customFormat="false" ht="54.75" hidden="false" customHeight="true" outlineLevel="0" collapsed="false">
      <c r="B8" s="121" t="s">
        <v>192</v>
      </c>
      <c r="C8" s="122" t="s">
        <v>193</v>
      </c>
      <c r="D8" s="123" t="n">
        <v>1255.23</v>
      </c>
      <c r="E8" s="124" t="n">
        <v>0.347469473963942</v>
      </c>
      <c r="F8" s="125" t="s">
        <v>194</v>
      </c>
      <c r="G8" s="126" t="s">
        <v>195</v>
      </c>
    </row>
    <row r="9" customFormat="false" ht="54.75" hidden="false" customHeight="true" outlineLevel="0" collapsed="false">
      <c r="B9" s="109" t="s">
        <v>196</v>
      </c>
      <c r="C9" s="110" t="s">
        <v>197</v>
      </c>
      <c r="D9" s="111" t="n">
        <v>498.3</v>
      </c>
      <c r="E9" s="112" t="n">
        <v>0.137938098098542</v>
      </c>
      <c r="F9" s="113" t="s">
        <v>198</v>
      </c>
      <c r="G9" s="114" t="s">
        <v>199</v>
      </c>
    </row>
    <row r="10" customFormat="false" ht="54.75" hidden="false" customHeight="true" outlineLevel="0" collapsed="false">
      <c r="B10" s="127" t="s">
        <v>200</v>
      </c>
      <c r="C10" s="128" t="s">
        <v>201</v>
      </c>
      <c r="D10" s="129" t="n">
        <v>595.33</v>
      </c>
      <c r="E10" s="130" t="n">
        <v>0.164797688021282</v>
      </c>
      <c r="F10" s="131" t="s">
        <v>202</v>
      </c>
      <c r="G10" s="132" t="s">
        <v>203</v>
      </c>
    </row>
    <row r="11" customFormat="false" ht="19.5" hidden="false" customHeight="true" outlineLevel="0" collapsed="false">
      <c r="B11" s="27" t="s">
        <v>204</v>
      </c>
      <c r="C11" s="27"/>
      <c r="D11" s="133" t="n">
        <v>3612.49</v>
      </c>
      <c r="E11" s="73" t="n">
        <v>1</v>
      </c>
      <c r="F11" s="29" t="s">
        <v>205</v>
      </c>
      <c r="G11" s="29"/>
    </row>
    <row r="12" customFormat="false" ht="7.5" hidden="false" customHeight="true" outlineLevel="0" collapsed="false"/>
    <row r="13" customFormat="false" ht="21.75" hidden="false" customHeight="true" outlineLevel="0" collapsed="false">
      <c r="B13" s="134" t="s">
        <v>206</v>
      </c>
      <c r="C13" s="134"/>
      <c r="D13" s="134"/>
      <c r="E13" s="134"/>
      <c r="F13" s="134"/>
      <c r="G13" s="134"/>
    </row>
    <row r="14" customFormat="false" ht="30" hidden="false" customHeight="true" outlineLevel="0" collapsed="false">
      <c r="B14" s="135" t="s">
        <v>207</v>
      </c>
      <c r="C14" s="136" t="s">
        <v>208</v>
      </c>
      <c r="D14" s="136"/>
      <c r="E14" s="136"/>
      <c r="F14" s="136"/>
      <c r="G14" s="136"/>
    </row>
    <row r="15" customFormat="false" ht="30" hidden="false" customHeight="true" outlineLevel="0" collapsed="false">
      <c r="B15" s="137" t="s">
        <v>209</v>
      </c>
      <c r="C15" s="138" t="s">
        <v>210</v>
      </c>
      <c r="D15" s="138"/>
      <c r="E15" s="138"/>
      <c r="F15" s="138"/>
      <c r="G15" s="138"/>
    </row>
    <row r="16" customFormat="false" ht="30" hidden="false" customHeight="true" outlineLevel="0" collapsed="false">
      <c r="B16" s="135" t="s">
        <v>211</v>
      </c>
      <c r="C16" s="136" t="s">
        <v>212</v>
      </c>
      <c r="D16" s="136"/>
      <c r="E16" s="136"/>
      <c r="F16" s="136"/>
      <c r="G16" s="136"/>
    </row>
    <row r="17" customFormat="false" ht="30" hidden="false" customHeight="true" outlineLevel="0" collapsed="false">
      <c r="B17" s="137" t="s">
        <v>213</v>
      </c>
      <c r="C17" s="138" t="s">
        <v>214</v>
      </c>
      <c r="D17" s="138"/>
      <c r="E17" s="138"/>
      <c r="F17" s="138"/>
      <c r="G17" s="138"/>
    </row>
    <row r="18" customFormat="false" ht="30" hidden="false" customHeight="true" outlineLevel="0" collapsed="false">
      <c r="B18" s="135" t="s">
        <v>215</v>
      </c>
      <c r="C18" s="136" t="s">
        <v>216</v>
      </c>
      <c r="D18" s="136"/>
      <c r="E18" s="136"/>
      <c r="F18" s="136"/>
      <c r="G18" s="136"/>
    </row>
    <row r="19" customFormat="false" ht="15" hidden="false" customHeight="false" outlineLevel="0" collapsed="false">
      <c r="B19" s="139"/>
      <c r="C19" s="139"/>
      <c r="D19" s="139"/>
      <c r="E19" s="139"/>
      <c r="F19" s="139"/>
      <c r="G19" s="139"/>
    </row>
    <row r="20" customFormat="false" ht="7.5" hidden="false" customHeight="true" outlineLevel="0" collapsed="false"/>
  </sheetData>
  <mergeCells count="11">
    <mergeCell ref="B1:G1"/>
    <mergeCell ref="B2:G2"/>
    <mergeCell ref="B4:G4"/>
    <mergeCell ref="B11:C11"/>
    <mergeCell ref="F11:G11"/>
    <mergeCell ref="B13:G13"/>
    <mergeCell ref="C14:G14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2"/>
    <col collapsed="false" customWidth="true" hidden="false" outlineLevel="0" max="8" min="7" style="0" width="16"/>
    <col collapsed="false" customWidth="true" hidden="false" outlineLevel="0" max="9" min="9" style="0" width="2"/>
    <col collapsed="false" customWidth="true" hidden="false" outlineLevel="0" max="10" min="10" style="0" width="16"/>
    <col collapsed="false" customWidth="true" hidden="false" outlineLevel="0" max="11" min="11" style="0" width="1.51"/>
  </cols>
  <sheetData>
    <row r="1" customFormat="false" ht="37.5" hidden="false" customHeight="true" outlineLevel="0" collapsed="false">
      <c r="B1" s="51" t="s">
        <v>217</v>
      </c>
      <c r="C1" s="51"/>
      <c r="D1" s="51"/>
      <c r="E1" s="51"/>
      <c r="F1" s="51"/>
      <c r="G1" s="51"/>
      <c r="H1" s="51"/>
      <c r="I1" s="51"/>
      <c r="J1" s="51"/>
    </row>
    <row r="2" customFormat="false" ht="19.5" hidden="false" customHeight="true" outlineLevel="0" collapsed="false">
      <c r="B2" s="52" t="s">
        <v>218</v>
      </c>
      <c r="C2" s="52"/>
      <c r="D2" s="52"/>
      <c r="E2" s="52"/>
      <c r="F2" s="52"/>
      <c r="G2" s="52"/>
      <c r="H2" s="52"/>
      <c r="I2" s="52"/>
      <c r="J2" s="52"/>
    </row>
    <row r="3" customFormat="false" ht="7.5" hidden="false" customHeight="true" outlineLevel="0" collapsed="false"/>
    <row r="4" customFormat="false" ht="36" hidden="false" customHeight="true" outlineLevel="0" collapsed="false">
      <c r="D4" s="140" t="s">
        <v>219</v>
      </c>
      <c r="E4" s="140"/>
      <c r="G4" s="141" t="s">
        <v>220</v>
      </c>
      <c r="H4" s="141"/>
      <c r="J4" s="142" t="s">
        <v>221</v>
      </c>
    </row>
    <row r="5" customFormat="false" ht="36" hidden="false" customHeight="true" outlineLevel="0" collapsed="false">
      <c r="B5" s="143" t="s">
        <v>130</v>
      </c>
      <c r="C5" s="143" t="s">
        <v>131</v>
      </c>
      <c r="D5" s="143" t="s">
        <v>222</v>
      </c>
      <c r="E5" s="143" t="s">
        <v>223</v>
      </c>
      <c r="G5" s="143" t="s">
        <v>224</v>
      </c>
      <c r="H5" s="143" t="s">
        <v>225</v>
      </c>
      <c r="J5" s="143" t="s">
        <v>226</v>
      </c>
    </row>
    <row r="6" customFormat="false" ht="19.5" hidden="false" customHeight="true" outlineLevel="0" collapsed="false">
      <c r="B6" s="79" t="s">
        <v>137</v>
      </c>
      <c r="C6" s="79" t="s">
        <v>5</v>
      </c>
      <c r="D6" s="144" t="n">
        <v>3612.49</v>
      </c>
      <c r="E6" s="144" t="n">
        <v>3612.49</v>
      </c>
      <c r="F6" s="145"/>
      <c r="G6" s="144" t="n">
        <v>3612.49</v>
      </c>
      <c r="H6" s="144" t="n">
        <v>3612.49</v>
      </c>
      <c r="I6" s="145"/>
      <c r="J6" s="79" t="s">
        <v>227</v>
      </c>
    </row>
    <row r="7" customFormat="false" ht="19.5" hidden="false" customHeight="true" outlineLevel="0" collapsed="false">
      <c r="B7" s="35" t="n">
        <v>1</v>
      </c>
      <c r="C7" s="35" t="n">
        <v>58</v>
      </c>
      <c r="D7" s="146" t="n">
        <v>3901.4892</v>
      </c>
      <c r="E7" s="146" t="n">
        <v>3973.739</v>
      </c>
      <c r="F7" s="147"/>
      <c r="G7" s="148" t="n">
        <v>9337.35865486509</v>
      </c>
      <c r="H7" s="146" t="n">
        <v>9016.99214618326</v>
      </c>
      <c r="I7" s="147"/>
      <c r="J7" s="149" t="n">
        <v>5435.86945486509</v>
      </c>
    </row>
    <row r="8" customFormat="false" ht="19.5" hidden="false" customHeight="true" outlineLevel="0" collapsed="false">
      <c r="B8" s="31" t="n">
        <v>2</v>
      </c>
      <c r="C8" s="31" t="n">
        <v>59</v>
      </c>
      <c r="D8" s="150" t="n">
        <v>4213.608336</v>
      </c>
      <c r="E8" s="150" t="n">
        <v>4371.1129</v>
      </c>
      <c r="F8" s="151"/>
      <c r="G8" s="152" t="n">
        <v>15982.5258093705</v>
      </c>
      <c r="H8" s="150" t="n">
        <v>14987.4162900864</v>
      </c>
      <c r="I8" s="151"/>
      <c r="J8" s="153" t="n">
        <v>11768.9174733705</v>
      </c>
    </row>
    <row r="9" customFormat="false" ht="19.5" hidden="false" customHeight="true" outlineLevel="0" collapsed="false">
      <c r="B9" s="35" t="n">
        <v>3</v>
      </c>
      <c r="C9" s="35" t="n">
        <v>60</v>
      </c>
      <c r="D9" s="146" t="n">
        <v>4550.69700288</v>
      </c>
      <c r="E9" s="146" t="n">
        <v>4808.22419</v>
      </c>
      <c r="F9" s="147"/>
      <c r="G9" s="148" t="n">
        <v>23695.9336049872</v>
      </c>
      <c r="H9" s="146" t="n">
        <v>21583.0218600233</v>
      </c>
      <c r="I9" s="147"/>
      <c r="J9" s="149" t="n">
        <v>19145.2366021072</v>
      </c>
    </row>
    <row r="10" customFormat="false" ht="19.5" hidden="false" customHeight="true" outlineLevel="0" collapsed="false">
      <c r="B10" s="31" t="n">
        <v>4</v>
      </c>
      <c r="C10" s="31" t="n">
        <v>61</v>
      </c>
      <c r="D10" s="150" t="n">
        <v>4914.7527631104</v>
      </c>
      <c r="E10" s="150" t="n">
        <v>5289.046609</v>
      </c>
      <c r="F10" s="151"/>
      <c r="G10" s="152" t="n">
        <v>32649.306550789</v>
      </c>
      <c r="H10" s="150" t="n">
        <v>28869.2735208212</v>
      </c>
      <c r="I10" s="151"/>
      <c r="J10" s="153" t="n">
        <v>27734.5537876786</v>
      </c>
    </row>
    <row r="11" customFormat="false" ht="19.5" hidden="false" customHeight="true" outlineLevel="0" collapsed="false">
      <c r="B11" s="35" t="n">
        <v>5</v>
      </c>
      <c r="C11" s="35" t="n">
        <v>62</v>
      </c>
      <c r="D11" s="146" t="n">
        <v>5307.93298415923</v>
      </c>
      <c r="E11" s="146" t="n">
        <v>5817.9512699</v>
      </c>
      <c r="F11" s="147"/>
      <c r="G11" s="154" t="n">
        <v>43041.9746464874</v>
      </c>
      <c r="H11" s="146" t="n">
        <v>36918.4909431704</v>
      </c>
      <c r="I11" s="147"/>
      <c r="J11" s="155" t="n">
        <v>37734.0416623282</v>
      </c>
    </row>
    <row r="12" customFormat="false" ht="7.5" hidden="false" customHeight="true" outlineLevel="0" collapsed="false"/>
    <row r="13" customFormat="false" ht="21.75" hidden="false" customHeight="true" outlineLevel="0" collapsed="false">
      <c r="B13" s="156" t="s">
        <v>228</v>
      </c>
      <c r="C13" s="156"/>
      <c r="D13" s="157" t="n">
        <v>5307.93298415923</v>
      </c>
      <c r="E13" s="157" t="n">
        <v>5817.9512699</v>
      </c>
      <c r="F13" s="145"/>
      <c r="G13" s="158" t="n">
        <v>43041.9746464874</v>
      </c>
      <c r="H13" s="158" t="n">
        <v>36918.4909431704</v>
      </c>
      <c r="I13" s="145"/>
      <c r="J13" s="159" t="n">
        <v>37734.0416623282</v>
      </c>
    </row>
    <row r="14" customFormat="false" ht="21.75" hidden="false" customHeight="true" outlineLevel="0" collapsed="false">
      <c r="B14" s="82" t="s">
        <v>229</v>
      </c>
      <c r="C14" s="82"/>
      <c r="D14" s="160" t="n">
        <v>1695.44298415923</v>
      </c>
      <c r="E14" s="160" t="n">
        <v>2205.4612699</v>
      </c>
      <c r="F14" s="145"/>
      <c r="G14" s="161" t="n">
        <v>39429.4846464874</v>
      </c>
      <c r="H14" s="161" t="n">
        <v>33306.0009431704</v>
      </c>
      <c r="I14" s="145"/>
      <c r="J14" s="162" t="n">
        <v>37734.0416623282</v>
      </c>
    </row>
    <row r="15" customFormat="false" ht="7.5" hidden="false" customHeight="true" outlineLevel="0" collapsed="false"/>
    <row r="16" customFormat="false" ht="69.75" hidden="false" customHeight="true" outlineLevel="0" collapsed="false">
      <c r="B16" s="163" t="s">
        <v>230</v>
      </c>
      <c r="C16" s="163"/>
      <c r="D16" s="163"/>
      <c r="E16" s="163"/>
      <c r="F16" s="163"/>
      <c r="G16" s="163"/>
      <c r="H16" s="163"/>
      <c r="I16" s="163"/>
      <c r="J16" s="163"/>
    </row>
    <row r="17" customFormat="false" ht="7.5" hidden="false" customHeight="true" outlineLevel="0" collapsed="false"/>
    <row r="18" customFormat="false" ht="21.75" hidden="false" customHeight="true" outlineLevel="0" collapsed="false">
      <c r="B18" s="164" t="s">
        <v>231</v>
      </c>
      <c r="C18" s="164"/>
      <c r="D18" s="164"/>
      <c r="E18" s="164"/>
      <c r="F18" s="164"/>
      <c r="G18" s="164"/>
      <c r="H18" s="164"/>
      <c r="I18" s="164"/>
      <c r="J18" s="164"/>
    </row>
    <row r="19" customFormat="false" ht="19.5" hidden="false" customHeight="true" outlineLevel="0" collapsed="false">
      <c r="B19" s="143" t="s">
        <v>179</v>
      </c>
      <c r="C19" s="143" t="s">
        <v>181</v>
      </c>
      <c r="D19" s="143" t="s">
        <v>232</v>
      </c>
      <c r="E19" s="143" t="s">
        <v>233</v>
      </c>
      <c r="F19" s="143" t="s">
        <v>234</v>
      </c>
      <c r="G19" s="143" t="s">
        <v>235</v>
      </c>
      <c r="H19" s="143" t="s">
        <v>236</v>
      </c>
      <c r="I19" s="143" t="s">
        <v>237</v>
      </c>
      <c r="J19" s="143" t="s">
        <v>183</v>
      </c>
    </row>
    <row r="20" customFormat="false" ht="49.5" hidden="false" customHeight="true" outlineLevel="0" collapsed="false">
      <c r="B20" s="165" t="s">
        <v>184</v>
      </c>
      <c r="C20" s="111" t="n">
        <v>27</v>
      </c>
      <c r="D20" s="166" t="n">
        <v>0</v>
      </c>
      <c r="E20" s="167" t="s">
        <v>227</v>
      </c>
      <c r="F20" s="167" t="s">
        <v>227</v>
      </c>
      <c r="G20" s="167" t="s">
        <v>227</v>
      </c>
      <c r="H20" s="167" t="s">
        <v>227</v>
      </c>
      <c r="I20" s="168" t="s">
        <v>227</v>
      </c>
      <c r="J20" s="169" t="s">
        <v>238</v>
      </c>
    </row>
    <row r="21" customFormat="false" ht="49.5" hidden="false" customHeight="true" outlineLevel="0" collapsed="false">
      <c r="B21" s="170" t="s">
        <v>239</v>
      </c>
      <c r="C21" s="117" t="n">
        <v>1236.63</v>
      </c>
      <c r="D21" s="171" t="n">
        <v>0.08</v>
      </c>
      <c r="E21" s="172" t="n">
        <v>1335.5604</v>
      </c>
      <c r="F21" s="172" t="n">
        <v>1442.405232</v>
      </c>
      <c r="G21" s="172" t="n">
        <v>1557.79765056</v>
      </c>
      <c r="H21" s="172" t="n">
        <v>1682.4214626048</v>
      </c>
      <c r="I21" s="173" t="n">
        <v>1817.01517961319</v>
      </c>
      <c r="J21" s="174" t="s">
        <v>240</v>
      </c>
    </row>
    <row r="22" customFormat="false" ht="49.5" hidden="false" customHeight="true" outlineLevel="0" collapsed="false">
      <c r="B22" s="175" t="s">
        <v>241</v>
      </c>
      <c r="C22" s="123" t="n">
        <v>1255.23</v>
      </c>
      <c r="D22" s="176" t="n">
        <v>0.1</v>
      </c>
      <c r="E22" s="177" t="n">
        <v>1380.753</v>
      </c>
      <c r="F22" s="177" t="n">
        <v>1518.8283</v>
      </c>
      <c r="G22" s="177" t="n">
        <v>1670.71113</v>
      </c>
      <c r="H22" s="177" t="n">
        <v>1837.782243</v>
      </c>
      <c r="I22" s="178" t="n">
        <v>2021.5604673</v>
      </c>
      <c r="J22" s="179" t="s">
        <v>242</v>
      </c>
    </row>
    <row r="23" customFormat="false" ht="49.5" hidden="false" customHeight="true" outlineLevel="0" collapsed="false">
      <c r="B23" s="165" t="s">
        <v>243</v>
      </c>
      <c r="C23" s="111" t="n">
        <v>498.3</v>
      </c>
      <c r="D23" s="166" t="n">
        <v>0</v>
      </c>
      <c r="E23" s="180" t="n">
        <v>498.3</v>
      </c>
      <c r="F23" s="180" t="n">
        <v>498.3</v>
      </c>
      <c r="G23" s="180" t="n">
        <v>498.3</v>
      </c>
      <c r="H23" s="180" t="n">
        <v>498.3</v>
      </c>
      <c r="I23" s="181" t="n">
        <v>498.3</v>
      </c>
      <c r="J23" s="169" t="s">
        <v>244</v>
      </c>
    </row>
    <row r="24" customFormat="false" ht="49.5" hidden="false" customHeight="true" outlineLevel="0" collapsed="false">
      <c r="B24" s="182" t="s">
        <v>200</v>
      </c>
      <c r="C24" s="129" t="n">
        <v>595.33</v>
      </c>
      <c r="D24" s="183" t="n">
        <v>0.04</v>
      </c>
      <c r="E24" s="184" t="n">
        <v>619.1432</v>
      </c>
      <c r="F24" s="184" t="n">
        <v>643.908928</v>
      </c>
      <c r="G24" s="184" t="n">
        <v>669.66528512</v>
      </c>
      <c r="H24" s="184" t="n">
        <v>696.4518965248</v>
      </c>
      <c r="I24" s="185" t="n">
        <v>724.309972385792</v>
      </c>
      <c r="J24" s="186" t="s">
        <v>245</v>
      </c>
    </row>
    <row r="25" customFormat="false" ht="21.75" hidden="false" customHeight="true" outlineLevel="0" collapsed="false">
      <c r="B25" s="27" t="s">
        <v>246</v>
      </c>
      <c r="C25" s="27"/>
      <c r="D25" s="27"/>
      <c r="E25" s="187" t="n">
        <v>3833.7566</v>
      </c>
      <c r="F25" s="187" t="n">
        <v>4103.44246</v>
      </c>
      <c r="G25" s="187" t="n">
        <v>4396.47406568</v>
      </c>
      <c r="H25" s="187" t="n">
        <v>4714.9556021296</v>
      </c>
      <c r="I25" s="187" t="n">
        <v>5061.18561929898</v>
      </c>
      <c r="J25" s="188" t="s">
        <v>247</v>
      </c>
    </row>
  </sheetData>
  <mergeCells count="9">
    <mergeCell ref="B1:J1"/>
    <mergeCell ref="B2:J2"/>
    <mergeCell ref="D4:E4"/>
    <mergeCell ref="G4:H4"/>
    <mergeCell ref="B13:C13"/>
    <mergeCell ref="B14:C14"/>
    <mergeCell ref="B16:J16"/>
    <mergeCell ref="B18:J18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2026-05-10T22:28:11Z</dcterms:created>
  <dc:creator>openpyxl</dc:creator>
  <dc:description/>
  <dc:language>en-US</dc:language>
  <cp:lastModifiedBy/>
  <dcterms:modified xsi:type="dcterms:W3CDTF">2026-05-10T22:39:43Z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